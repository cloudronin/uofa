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_Lists" sheetId="3" state="hidden" r:id="rId3"/>
    <sheet xmlns:r="http://schemas.openxmlformats.org/officeDocument/2006/relationships" name="Model &amp; Data"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definedName name="list_assessed" hidden="0" function="0" vbProcedure="0">_Lists!$J$2:$J$4</definedName>
    <definedName name="list_assurance" hidden="0" function="0" vbProcedure="0">_Lists!$D$2:$D$4</definedName>
    <definedName name="list_decision" hidden="0" function="0" vbProcedure="0">_Lists!$K$2:$K$4</definedName>
    <definedName name="list_device_class" hidden="0" function="0" vbProcedure="0">_Lists!$B$2:$B$10</definedName>
    <definedName name="list_entity_type" hidden="0" function="0" vbProcedure="0">_Lists!$F$2:$F$4</definedName>
    <definedName name="list_factor_level" hidden="0" function="0" vbProcedure="0">_Lists!$I$2:$I$5</definedName>
    <definedName name="list_has_uq" hidden="0" function="0" vbProcedure="0">_Lists!$G$2:$G$3</definedName>
    <definedName name="list_mrl" hidden="0" function="0" vbProcedure="0">_Lists!$C$2:$C$6</definedName>
    <definedName name="list_pass_fail" hidden="0" function="0" vbProcedure="0">_Lists!$H$2:$H$5</definedName>
    <definedName name="list_profile" hidden="0" function="0" vbProcedure="0">_Lists!$A$2:$A$3</definedName>
    <definedName name="list_standards" hidden="0" function="0" vbProcedure="0">_Lists!$E$2:$E$5</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B4F72"/>
      <sz val="14"/>
    </font>
    <font>
      <name val="Arial"/>
      <charset val="1"/>
      <family val="0"/>
      <b val="1"/>
      <color rgb="FFFFFFFF"/>
      <sz val="10"/>
    </font>
    <font>
      <name val="Arial"/>
      <charset val="1"/>
      <family val="0"/>
      <i val="1"/>
      <color rgb="FF666666"/>
      <sz val="9"/>
    </font>
    <font>
      <name val="Arial"/>
      <charset val="1"/>
      <family val="0"/>
      <sz val="10"/>
    </font>
    <font>
      <name val="Arial"/>
      <charset val="1"/>
      <family val="0"/>
      <b val="1"/>
      <sz val="9"/>
    </font>
    <font>
      <name val="Arial"/>
      <charset val="1"/>
      <family val="0"/>
      <sz val="9"/>
    </font>
    <font>
      <name val="Arial"/>
      <charset val="1"/>
      <family val="0"/>
      <b val="1"/>
      <color rgb="FF1B4F72"/>
      <sz val="10"/>
    </font>
    <font>
      <name val="Cambria"/>
      <charset val="1"/>
      <family val="0"/>
      <b val="1"/>
      <sz val="11"/>
    </font>
    <font>
      <name val="Arial"/>
      <charset val="1"/>
      <family val="0"/>
      <i val="1"/>
      <color rgb="FF555555"/>
      <sz val="10"/>
    </font>
    <font>
      <name val="Arial"/>
      <charset val="1"/>
      <family val="0"/>
      <b val="1"/>
      <sz val="10"/>
    </font>
    <font>
      <name val="Arial"/>
      <b val="1"/>
      <color rgb="00FFFFFF"/>
      <sz val="10"/>
    </font>
    <font>
      <name val="Arial"/>
      <color rgb="00666666"/>
      <sz val="9"/>
    </font>
  </fonts>
  <fills count="10">
    <fill>
      <patternFill/>
    </fill>
    <fill>
      <patternFill patternType="gray125"/>
    </fill>
    <fill>
      <patternFill patternType="solid">
        <fgColor rgb="FF1B4F72"/>
        <bgColor rgb="FF333399"/>
      </patternFill>
    </fill>
    <fill>
      <patternFill patternType="solid">
        <fgColor rgb="FFF2F3F4"/>
        <bgColor rgb="FFFFFFFF"/>
      </patternFill>
    </fill>
    <fill>
      <patternFill patternType="solid">
        <fgColor rgb="FFD6EAF8"/>
        <bgColor rgb="FFD5F5E3"/>
      </patternFill>
    </fill>
    <fill>
      <patternFill patternType="solid">
        <fgColor rgb="FFD5F5E3"/>
        <bgColor rgb="FFD6EAF8"/>
      </patternFill>
    </fill>
    <fill>
      <patternFill patternType="solid">
        <fgColor rgb="FFFFFFFF"/>
        <bgColor rgb="FFF2F3F4"/>
      </patternFill>
    </fill>
    <fill>
      <patternFill patternType="solid">
        <fgColor rgb="001B4F72"/>
      </patternFill>
    </fill>
    <fill>
      <patternFill patternType="solid">
        <fgColor rgb="00F2F3F4"/>
      </patternFill>
    </fill>
    <fill>
      <patternFill patternType="solid">
        <fgColor rgb="00FFEB9C"/>
        <bgColor rgb="00FFEB9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general" vertical="top" wrapText="1"/>
    </xf>
    <xf numFmtId="0" fontId="6" fillId="0" borderId="0" pivotButton="0" quotePrefix="0" xfId="0"/>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14" fillId="7" borderId="2" applyAlignment="1" pivotButton="0" quotePrefix="0" xfId="0">
      <alignment horizontal="center" vertical="center" wrapText="1"/>
    </xf>
    <xf numFmtId="0" fontId="15" fillId="8" borderId="2" applyAlignment="1" pivotButton="0" quotePrefix="0" xfId="0">
      <alignment vertical="top" wrapText="1"/>
    </xf>
    <xf numFmtId="0" fontId="6" fillId="9" borderId="1" applyAlignment="1" pivotButton="0" quotePrefix="0" xfId="0">
      <alignment horizontal="general" vertical="top" wrapText="1"/>
    </xf>
    <xf numFmtId="0" fontId="6" fillId="9" borderId="0" pivotButton="0" quotePrefix="0" xfId="0"/>
    <xf numFmtId="0" fontId="7" fillId="9" borderId="1" applyAlignment="1" pivotButton="0" quotePrefix="0" xfId="0">
      <alignment horizontal="general" vertical="top" wrapText="1"/>
    </xf>
    <xf numFmtId="0" fontId="0" fillId="9"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3F4"/>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B4F72"/>
      <rgbColor rgb="FF339966"/>
      <rgbColor rgb="FF003300"/>
      <rgbColor rgb="FF333300"/>
      <rgbColor rgb="FF993300"/>
      <rgbColor rgb="FF993366"/>
      <rgbColor rgb="FF333399"/>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H7" authorId="0" shapeId="0">
      <text>
        <t>[Extract] | Confidence: 50%</t>
      </text>
    </comment>
    <comment ref="I7"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filterMode="0">
    <outlinePr summaryBelow="1" summaryRight="1"/>
    <pageSetUpPr fitToPage="1"/>
  </sheetPr>
  <dimension ref="A1:L6"/>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30" customWidth="1" style="17" min="2" max="2"/>
    <col width="40" customWidth="1" style="17" min="3" max="3"/>
    <col width="12" customWidth="1" style="17" min="4" max="4"/>
    <col width="14" customWidth="1" style="17" min="5" max="5"/>
    <col width="16" customWidth="1" style="17" min="6" max="6"/>
    <col width="14" customWidth="1" style="17" min="7" max="7"/>
    <col width="20" customWidth="1" style="17" min="8" max="8"/>
    <col width="22" customWidth="1" style="17" min="9" max="9"/>
    <col width="16" customWidth="1" style="17" min="10" max="10"/>
    <col width="30" customWidth="1" style="17" min="11" max="11"/>
  </cols>
  <sheetData>
    <row r="1" ht="30" customHeight="1" s="18">
      <c r="A1" s="19" t="inlineStr">
        <is>
          <t>Unit of Assurance — Assessment Summary</t>
        </is>
      </c>
    </row>
    <row r="2" ht="23.85" customHeight="1" s="18">
      <c r="A2" s="20" t="inlineStr">
        <is>
          <t>Project Name</t>
        </is>
      </c>
      <c r="B2" s="20" t="inlineStr">
        <is>
          <t>COU Name</t>
        </is>
      </c>
      <c r="C2" s="20" t="inlineStr">
        <is>
          <t>COU Description</t>
        </is>
      </c>
      <c r="D2" s="20" t="inlineStr">
        <is>
          <t>Profile</t>
        </is>
      </c>
      <c r="E2" s="20" t="inlineStr">
        <is>
          <t>Device Class</t>
        </is>
      </c>
      <c r="F2" s="20" t="inlineStr">
        <is>
          <t>Model Risk Level</t>
        </is>
      </c>
      <c r="G2" s="20" t="inlineStr">
        <is>
          <t>Assurance Level</t>
        </is>
      </c>
      <c r="H2" s="20" t="inlineStr">
        <is>
          <t>Standards Reference</t>
        </is>
      </c>
      <c r="I2" s="20" t="inlineStr">
        <is>
          <t>Assessor Name</t>
        </is>
      </c>
      <c r="J2" s="20" t="inlineStr">
        <is>
          <t>Assessment Date</t>
        </is>
      </c>
      <c r="K2" s="20" t="inlineStr">
        <is>
          <t>Source Document</t>
        </is>
      </c>
      <c r="L2" s="21" t="inlineStr">
        <is>
          <t>Has UQ?</t>
        </is>
      </c>
    </row>
    <row r="3" ht="32.8" customHeight="1" s="18">
      <c r="A3" s="39" t="inlineStr">
        <is>
          <t>Irrigated RF Ablation Tip CHT Model</t>
        </is>
      </c>
      <c r="B3" s="39" t="inlineStr">
        <is>
          <t>Predict peak tissue temperature and lesion depth to support RF ablation catheter labeling claims</t>
        </is>
      </c>
      <c r="C3" s="39" t="inlineStr">
        <is>
          <t>The conjugate heat transfer (CHT) model predicts peak tissue temperature at 2 mm depth and lesion depth after 30–60 s of RF energy delivery (20–35 W, 0.10–0.30 m/s blood crossflow, 10–25 g contact force, 17–30 mL/min saline irrigation). Results support labeling of thermal safety margins and recommended power/flow envelopes for a 3.5 mm irrigated RF ablation catheter tip. Not intended for patient-specific planning or use above 65 °C at 2 mm depth.</t>
        </is>
      </c>
      <c r="D3" s="39" t="inlineStr">
        <is>
          <t>Complete</t>
        </is>
      </c>
      <c r="E3" s="39" t="inlineStr">
        <is>
          <t>Class III</t>
        </is>
      </c>
      <c r="F3" s="39" t="inlineStr">
        <is>
          <t>MRL 4</t>
        </is>
      </c>
      <c r="G3" s="39" t="inlineStr">
        <is>
          <t>High</t>
        </is>
      </c>
      <c r="H3" s="39" t="inlineStr">
        <is>
          <t>ASME-VV40-2018</t>
        </is>
      </c>
      <c r="I3" s="39" t="inlineStr">
        <is>
          <t>CHT V&amp;V Team</t>
        </is>
      </c>
      <c r="J3" s="22" t="inlineStr">
        <is>
          <t>Date of this assessment (YYYY-MM-DD)</t>
        </is>
      </c>
      <c r="K3" s="22" t="inlineStr">
        <is>
          <t>DOI, report number, or URI</t>
        </is>
      </c>
      <c r="L3" s="40" t="inlineStr">
        <is>
          <t>Yes</t>
        </is>
      </c>
    </row>
    <row r="4" ht="15" customHeight="1" s="18">
      <c r="A4" s="24" t="n"/>
      <c r="B4" s="24" t="n"/>
      <c r="C4" s="25" t="n"/>
      <c r="D4" s="24" t="n"/>
      <c r="E4" s="25" t="n"/>
      <c r="F4" s="25" t="n"/>
      <c r="G4" s="25" t="n"/>
      <c r="H4" s="25" t="n"/>
      <c r="I4" s="24" t="n"/>
      <c r="J4" s="24" t="n"/>
      <c r="K4" s="25" t="n"/>
    </row>
    <row r="6" ht="15" customHeight="1" s="18">
      <c r="A6" s="26" t="inlineStr">
        <is>
          <t>Legend:</t>
        </is>
      </c>
      <c r="C6" s="27" t="inlineStr">
        <is>
          <t>Required (Minimal)</t>
        </is>
      </c>
      <c r="D6" s="28" t="inlineStr">
        <is>
          <t>Required (Complete)</t>
        </is>
      </c>
      <c r="E6" s="29" t="inlineStr">
        <is>
          <t>Optional</t>
        </is>
      </c>
    </row>
  </sheetData>
  <mergeCells count="2">
    <mergeCell ref="A1:K1"/>
    <mergeCell ref="A6:B6"/>
  </mergeCells>
  <dataValidations count="5">
    <dataValidation sqref="D4" showDropDown="0" showInputMessage="0" showErrorMessage="0" allowBlank="0" error="Select Minimal or Complete" type="list" errorStyle="stop" operator="between">
      <formula1>list_profile</formula1>
      <formula2>0</formula2>
    </dataValidation>
    <dataValidation sqref="E4" showDropDown="0" showInputMessage="0" showErrorMessage="0" allowBlank="1" type="list" errorStyle="stop" operator="between">
      <formula1>list_device_class</formula1>
      <formula2>0</formula2>
    </dataValidation>
    <dataValidation sqref="F4" showDropDown="0" showInputMessage="0" showErrorMessage="0" allowBlank="1" type="list" errorStyle="stop" operator="between">
      <formula1>list_mrl</formula1>
      <formula2>0</formula2>
    </dataValidation>
    <dataValidation sqref="G4" showDropDown="0" showInputMessage="0" showErrorMessage="0" allowBlank="1" type="list" errorStyle="stop" operator="between">
      <formula1>list_assurance</formula1>
      <formula2>0</formula2>
    </dataValidation>
    <dataValidation sqref="H4" showDropDown="0" showInputMessage="0" showErrorMessage="0" allowBlank="1" type="list" errorStyle="stop" operator="between">
      <formula1>list_standards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1"/>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7" min="1" max="1"/>
    <col width="90" customWidth="1" style="17" min="2" max="2"/>
  </cols>
  <sheetData>
    <row r="1" ht="30" customHeight="1" s="18">
      <c r="A1" s="19" t="inlineStr">
        <is>
          <t>UofA Excel Template — Instructions</t>
        </is>
      </c>
    </row>
    <row r="3" ht="39.75" customHeight="1" s="18">
      <c r="A3" s="30" t="inlineStr">
        <is>
          <t>What is this?</t>
        </is>
      </c>
      <c r="B3" s="31" t="inlineStr">
        <is>
          <t>This workbook captures a credibility assessment for one Context of Use (COU). Fill it out, then run `uofa import` to convert it to a machine-verifiable evidence package.</t>
        </is>
      </c>
    </row>
    <row r="4" ht="39.75" customHeight="1" s="18">
      <c r="A4" s="30" t="inlineStr">
        <is>
          <t>One workbook = one COU</t>
        </is>
      </c>
      <c r="B4" s="31" t="inlineStr">
        <is>
          <t>If your project has multiple COUs (e.g., different device classes or risk levels for the same model), create a separate workbook for each.</t>
        </is>
      </c>
    </row>
    <row r="5" ht="39.75" customHeight="1" s="18">
      <c r="A5" s="30" t="inlineStr">
        <is>
          <t>Profiles</t>
        </is>
      </c>
      <c r="B5" s="31" t="inlineStr">
        <is>
          <t>Minimal (7 fields, lightweight audit trail) is for early-stage projects or live pipeline capture. Complete (full V&amp;V 40 assessment) is for regulatory submissions.</t>
        </is>
      </c>
    </row>
    <row r="6" ht="39.75" customHeight="1" s="18">
      <c r="A6" s="30" t="inlineStr">
        <is>
          <t>Color coding</t>
        </is>
      </c>
      <c r="B6" s="31" t="inlineStr">
        <is>
          <t>Blue cells = required for Minimal profile. Green cells = required for Complete profile. White cells = optional.</t>
        </is>
      </c>
    </row>
    <row r="7" ht="39.75" customHeight="1" s="18">
      <c r="A7" s="30" t="inlineStr">
        <is>
          <t>Credibility Factors</t>
        </is>
      </c>
      <c r="B7" s="31" t="inlineStr">
        <is>
          <t>Sheet 4 is pre-populated with all 13 V&amp;V 40 factors from Table 5-1. You do not need to assess all 13 — set Assessed = "No" or "N/A" for factors not relevant to your COU.</t>
        </is>
      </c>
    </row>
    <row r="8" ht="39.75" customHeight="1" s="18">
      <c r="A8" s="30" t="inlineStr">
        <is>
          <t>Dropdowns</t>
        </is>
      </c>
      <c r="B8" s="31" t="inlineStr">
        <is>
          <t>Most constrained fields use dropdown lists. If you need a custom value not in the dropdown, type it directly (the validation will warn but not prevent entry).</t>
        </is>
      </c>
    </row>
    <row r="9" ht="39.75" customHeight="1" s="18">
      <c r="A9" s="30" t="inlineStr">
        <is>
          <t>After filling out</t>
        </is>
      </c>
      <c r="B9" s="31" t="inlineStr">
        <is>
          <t>Run: uofa import your-file.xlsx --sign --key keys/your.key --check</t>
        </is>
      </c>
    </row>
    <row r="10" ht="39.75" customHeight="1" s="18">
      <c r="A10" s="30" t="inlineStr">
        <is>
          <t>What the tool checks</t>
        </is>
      </c>
      <c r="B10" s="31" t="inlineStr">
        <is>
          <t>Gate 1 (SHACL): Are all required fields present? Gate 2 (Jena rules): Are there quality gaps (weakeners)? Gate 3 (Integrity): Is the hash and signature valid?</t>
        </is>
      </c>
    </row>
    <row r="11" ht="39.75" customHeight="1" s="18">
      <c r="A11" s="30" t="inlineStr">
        <is>
          <t>More info</t>
        </is>
      </c>
      <c r="B11" s="31" t="inlineStr">
        <is>
          <t>https://crediblesimulation.com | https://github.com/cloudronin/uofa</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8">
      <c r="A1" s="32" t="inlineStr">
        <is>
          <t>Profile</t>
        </is>
      </c>
      <c r="B1" s="32" t="inlineStr">
        <is>
          <t>Device Class</t>
        </is>
      </c>
      <c r="C1" s="32" t="inlineStr">
        <is>
          <t>Model Risk Level</t>
        </is>
      </c>
      <c r="D1" s="32" t="inlineStr">
        <is>
          <t>Assurance Level</t>
        </is>
      </c>
      <c r="E1" s="32" t="inlineStr">
        <is>
          <t>Standards Reference</t>
        </is>
      </c>
      <c r="F1" s="32" t="inlineStr">
        <is>
          <t>Entity Type</t>
        </is>
      </c>
      <c r="G1" s="32" t="inlineStr">
        <is>
          <t>Has UQ</t>
        </is>
      </c>
      <c r="H1" s="32" t="inlineStr">
        <is>
          <t>Pass/Fail</t>
        </is>
      </c>
      <c r="I1" s="32" t="inlineStr">
        <is>
          <t>Factor Level (1-5)</t>
        </is>
      </c>
      <c r="J1" s="32" t="inlineStr">
        <is>
          <t>Factor Status</t>
        </is>
      </c>
      <c r="K1" s="32" t="inlineStr">
        <is>
          <t>Decision Outcome</t>
        </is>
      </c>
      <c r="L1" s="17" t="inlineStr">
        <is>
          <t>Has UQ (COU-level)</t>
        </is>
      </c>
    </row>
    <row r="2" ht="15" customHeight="1" s="18">
      <c r="A2" s="17" t="inlineStr">
        <is>
          <t>Minimal</t>
        </is>
      </c>
      <c r="B2" s="17" t="inlineStr">
        <is>
          <t>Class I</t>
        </is>
      </c>
      <c r="C2" s="17" t="inlineStr">
        <is>
          <t>MRL 1</t>
        </is>
      </c>
      <c r="D2" s="17" t="inlineStr">
        <is>
          <t>Low</t>
        </is>
      </c>
      <c r="E2" s="17" t="inlineStr">
        <is>
          <t>ASME-VV40-2018</t>
        </is>
      </c>
      <c r="F2" s="17" t="inlineStr">
        <is>
          <t>Requirement</t>
        </is>
      </c>
      <c r="G2" s="17" t="inlineStr">
        <is>
          <t>Yes</t>
        </is>
      </c>
      <c r="H2" s="17" t="inlineStr">
        <is>
          <t>Pass</t>
        </is>
      </c>
      <c r="I2" s="17" t="n">
        <v>1</v>
      </c>
      <c r="J2" s="17" t="inlineStr">
        <is>
          <t>assessed</t>
        </is>
      </c>
      <c r="K2" s="17" t="inlineStr">
        <is>
          <t>Accepted</t>
        </is>
      </c>
      <c r="L2" s="17" t="inlineStr">
        <is>
          <t>Yes</t>
        </is>
      </c>
    </row>
    <row r="3" ht="15" customHeight="1" s="18">
      <c r="A3" s="17" t="inlineStr">
        <is>
          <t>Complete</t>
        </is>
      </c>
      <c r="B3" s="17" t="inlineStr">
        <is>
          <t>Class II</t>
        </is>
      </c>
      <c r="C3" s="17" t="inlineStr">
        <is>
          <t>MRL 2</t>
        </is>
      </c>
      <c r="D3" s="17" t="inlineStr">
        <is>
          <t>Medium</t>
        </is>
      </c>
      <c r="E3" s="17" t="inlineStr">
        <is>
          <t>NASA-STD-7009B</t>
        </is>
      </c>
      <c r="F3" s="17" t="inlineStr">
        <is>
          <t>Model</t>
        </is>
      </c>
      <c r="G3" s="17" t="inlineStr">
        <is>
          <t>No</t>
        </is>
      </c>
      <c r="H3" s="17" t="inlineStr">
        <is>
          <t>Fail</t>
        </is>
      </c>
      <c r="I3" s="17" t="n">
        <v>2</v>
      </c>
      <c r="J3" s="17" t="inlineStr">
        <is>
          <t>not-assessed</t>
        </is>
      </c>
      <c r="K3" s="17" t="inlineStr">
        <is>
          <t>Not accepted</t>
        </is>
      </c>
      <c r="L3" s="17" t="inlineStr">
        <is>
          <t>No</t>
        </is>
      </c>
    </row>
    <row r="4" ht="15" customHeight="1" s="18">
      <c r="B4" s="17" t="inlineStr">
        <is>
          <t>Class III</t>
        </is>
      </c>
      <c r="C4" s="17" t="inlineStr">
        <is>
          <t>MRL 3</t>
        </is>
      </c>
      <c r="D4" s="17" t="inlineStr">
        <is>
          <t>High</t>
        </is>
      </c>
      <c r="E4" s="17" t="inlineStr">
        <is>
          <t>FDA-2023-CMS</t>
        </is>
      </c>
      <c r="F4" s="17" t="inlineStr">
        <is>
          <t>Dataset</t>
        </is>
      </c>
      <c r="H4" s="17" t="inlineStr">
        <is>
          <t>Inconclusive</t>
        </is>
      </c>
      <c r="I4" s="17" t="n">
        <v>3</v>
      </c>
      <c r="J4" s="17" t="inlineStr">
        <is>
          <t>scoped-out</t>
        </is>
      </c>
      <c r="K4" s="17" t="inlineStr">
        <is>
          <t>Conditional</t>
        </is>
      </c>
    </row>
    <row r="5" ht="15" customHeight="1" s="18">
      <c r="B5" s="17" t="inlineStr">
        <is>
          <t>Category A</t>
        </is>
      </c>
      <c r="C5" s="17" t="inlineStr">
        <is>
          <t>MRL 4</t>
        </is>
      </c>
      <c r="E5" s="17" t="inlineStr">
        <is>
          <t>Custom</t>
        </is>
      </c>
      <c r="H5" s="17" t="inlineStr">
        <is>
          <t>N/A</t>
        </is>
      </c>
      <c r="I5" s="17" t="n">
        <v>4</v>
      </c>
      <c r="J5" s="17" t="inlineStr">
        <is>
          <t>not-applicable</t>
        </is>
      </c>
    </row>
    <row r="6" ht="15" customHeight="1" s="18">
      <c r="B6" s="17" t="inlineStr">
        <is>
          <t>Category B</t>
        </is>
      </c>
      <c r="C6" s="17" t="inlineStr">
        <is>
          <t>MRL 5</t>
        </is>
      </c>
      <c r="I6" s="17" t="n">
        <v>5</v>
      </c>
    </row>
    <row r="7" ht="15" customHeight="1" s="18">
      <c r="B7" s="17" t="inlineStr">
        <is>
          <t>Category C</t>
        </is>
      </c>
    </row>
    <row r="8" ht="15" customHeight="1" s="18">
      <c r="B8" s="17" t="inlineStr">
        <is>
          <t>Category D</t>
        </is>
      </c>
    </row>
    <row r="9" ht="15" customHeight="1" s="18">
      <c r="B9" s="17" t="inlineStr">
        <is>
          <t>Category E</t>
        </is>
      </c>
    </row>
    <row r="10" ht="15" customHeight="1" s="18">
      <c r="B10" s="17" t="inlineStr">
        <is>
          <t>Other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35" customWidth="1" style="17" min="2" max="2"/>
    <col width="40" customWidth="1" style="17" min="3" max="3"/>
    <col width="45" customWidth="1" style="17" min="4" max="4"/>
    <col width="12" customWidth="1" style="17" min="5" max="5"/>
    <col width="20" customWidth="1" style="17" min="6" max="6"/>
  </cols>
  <sheetData>
    <row r="1" ht="30" customHeight="1" s="18">
      <c r="A1" s="19" t="inlineStr">
        <is>
          <t>Model &amp; Data — What you modeled and compared against</t>
        </is>
      </c>
    </row>
    <row r="2" ht="15" customHeight="1" s="18">
      <c r="A2" s="20" t="inlineStr">
        <is>
          <t>Entity Type</t>
        </is>
      </c>
      <c r="B2" s="20" t="inlineStr">
        <is>
          <t>Name</t>
        </is>
      </c>
      <c r="C2" s="20" t="inlineStr">
        <is>
          <t>Identifier / URI</t>
        </is>
      </c>
      <c r="D2" s="20" t="inlineStr">
        <is>
          <t>Description</t>
        </is>
      </c>
      <c r="E2" s="20" t="inlineStr">
        <is>
          <t>Version</t>
        </is>
      </c>
      <c r="F2" s="20" t="inlineStr">
        <is>
          <t>Source</t>
        </is>
      </c>
    </row>
    <row r="3" ht="32.8" customHeight="1" s="18">
      <c r="A3" s="39" t="inlineStr">
        <is>
          <t>Requirement</t>
        </is>
      </c>
      <c r="B3" s="39" t="inlineStr">
        <is>
          <t>Thermal Safety Labeling Requirement</t>
        </is>
      </c>
      <c r="C3" s="22" t="inlineStr">
        <is>
          <t>Stable URI or local ID</t>
        </is>
      </c>
      <c r="D3" s="39" t="inlineStr">
        <is>
          <t>Model must predict peak tissue temperature at 2 mm depth and lesion depth within the validated operating envelope (20–35 W, 0.10–0.30 m/s, 10–25 g, 17–30 mL/min) with sufficient accuracy to support labeling claims; probability of exceeding 65 °C at 2 mm must be demonstrably low (target &lt;5%)</t>
        </is>
      </c>
      <c r="E3" s="22" t="inlineStr">
        <is>
          <t>Version number (optional)</t>
        </is>
      </c>
      <c r="F3" s="22" t="inlineStr">
        <is>
          <t>Where this came from (optional)</t>
        </is>
      </c>
    </row>
    <row r="4" ht="15" customHeight="1" s="18">
      <c r="A4" s="41" t="inlineStr">
        <is>
          <t>Model</t>
        </is>
      </c>
      <c r="B4" s="41" t="inlineStr">
        <is>
          <t>Irrigated RF Ablation Tip CHT Model v1.6.2</t>
        </is>
      </c>
      <c r="C4" s="24" t="n"/>
      <c r="D4" s="41" t="inlineStr">
        <is>
          <t>Ansys Fluent 2024R1 conjugate heat transfer model coupling incompressible k–ω SST fluid flow with transient solid conduction (Pennes perfusion) and volumetric RF heat source; covers tip, saline irrigation, blood crossflow, and myocardial tissue</t>
        </is>
      </c>
      <c r="E4" s="33" t="n"/>
      <c r="F4" s="33" t="n"/>
    </row>
    <row r="5" ht="15" customHeight="1" s="18">
      <c r="A5" s="41" t="inlineStr">
        <is>
          <t>Dataset</t>
        </is>
      </c>
      <c r="B5" s="41" t="inlineStr">
        <is>
          <t>Ex Vivo Porcine Myocardium Bench Test Dataset</t>
        </is>
      </c>
      <c r="C5" s="24" t="n"/>
      <c r="D5" s="41" t="inlineStr">
        <is>
          <t>12 ex vivo porcine myocardium ablation runs (n=3 repeats at 4 operating points spanning 20/25/35 W and 0.10/0.20/0.30 m/s) with Type T thermocouple and IR camera measurements of tissue temperature and lesion depth</t>
        </is>
      </c>
      <c r="E5" s="33" t="n"/>
      <c r="F5" s="33" t="n"/>
    </row>
    <row r="6" ht="15" customHeight="1" s="18">
      <c r="A6" s="41" t="inlineStr">
        <is>
          <t>Dataset</t>
        </is>
      </c>
      <c r="B6" s="41" t="inlineStr">
        <is>
          <t>Gel-Phantom Calibration Dataset</t>
        </is>
      </c>
      <c r="C6" s="24" t="n"/>
      <c r="D6" s="41" t="inlineStr">
        <is>
          <t>Six independent gel-phantom runs at 25 W used to calibrate the EM-to-thermal source scaling factor; posterior uncertainty 4.2% (95% CI)</t>
        </is>
      </c>
      <c r="E6" s="33" t="n"/>
      <c r="F6" s="33" t="n"/>
    </row>
    <row r="7" ht="15" customHeight="1" s="18">
      <c r="A7" s="24" t="n"/>
      <c r="B7" s="24" t="n"/>
      <c r="C7" s="24" t="n"/>
      <c r="D7" s="33" t="n"/>
      <c r="E7" s="33" t="n"/>
      <c r="F7" s="33" t="n"/>
    </row>
    <row r="8" ht="15" customHeight="1" s="18">
      <c r="A8" s="24" t="n"/>
      <c r="B8" s="24" t="n"/>
      <c r="C8" s="24" t="n"/>
      <c r="D8" s="33" t="n"/>
      <c r="E8" s="33" t="n"/>
      <c r="F8" s="33" t="n"/>
    </row>
    <row r="9" ht="15" customHeight="1" s="18">
      <c r="A9" s="24" t="n"/>
      <c r="B9" s="24" t="n"/>
      <c r="C9" s="24" t="n"/>
      <c r="D9" s="33" t="n"/>
      <c r="E9" s="33" t="n"/>
      <c r="F9" s="33" t="n"/>
    </row>
    <row r="10" ht="15" customHeight="1" s="18">
      <c r="A10" s="24" t="n"/>
      <c r="B10" s="24" t="n"/>
      <c r="C10" s="24" t="n"/>
      <c r="D10" s="33" t="n"/>
      <c r="E10" s="33" t="n"/>
      <c r="F10" s="33" t="n"/>
    </row>
    <row r="11" ht="15" customHeight="1" s="18">
      <c r="A11" s="24" t="n"/>
      <c r="B11" s="24" t="n"/>
      <c r="C11" s="24" t="n"/>
      <c r="D11" s="33" t="n"/>
      <c r="E11" s="33" t="n"/>
      <c r="F11" s="33" t="n"/>
    </row>
    <row r="12" ht="15" customHeight="1" s="18">
      <c r="A12" s="24" t="n"/>
      <c r="B12" s="24" t="n"/>
      <c r="C12" s="24" t="n"/>
      <c r="D12" s="33" t="n"/>
      <c r="E12" s="33" t="n"/>
      <c r="F12" s="33" t="n"/>
    </row>
    <row r="13" ht="15" customHeight="1" s="18">
      <c r="A13" s="24" t="n"/>
      <c r="B13" s="24" t="n"/>
      <c r="C13" s="24" t="n"/>
      <c r="D13" s="33" t="n"/>
      <c r="E13" s="33" t="n"/>
      <c r="F13" s="33" t="n"/>
    </row>
  </sheetData>
  <mergeCells count="1">
    <mergeCell ref="A1:F1"/>
  </mergeCells>
  <dataValidations count="1">
    <dataValidation sqref="A4:A13" showDropDown="0" showInputMessage="0" showErrorMessage="0" allowBlank="1" type="list" errorStyle="stop" operator="between">
      <formula1>list_entity_type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I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7" min="1" max="1"/>
    <col width="35" customWidth="1" style="17" min="2" max="2"/>
    <col width="45" customWidth="1" style="17" min="3" max="3"/>
    <col width="35" customWidth="1" style="17" min="4" max="4"/>
    <col width="10" customWidth="1" style="17" min="5" max="5"/>
    <col width="30" customWidth="1" style="17" min="6" max="6"/>
    <col width="18" customWidth="1" style="17" min="7" max="7"/>
    <col width="14" customWidth="1" style="17" min="8" max="8"/>
  </cols>
  <sheetData>
    <row r="1" ht="30" customHeight="1" s="18">
      <c r="A1" s="19" t="inlineStr">
        <is>
          <t>Validation Results — What you found when you tested the model</t>
        </is>
      </c>
    </row>
    <row r="2" ht="15" customHeight="1" s="18">
      <c r="A2" s="20" t="inlineStr">
        <is>
          <t>Result Name</t>
        </is>
      </c>
      <c r="B2" s="20" t="inlineStr">
        <is>
          <t>Identifier / URI</t>
        </is>
      </c>
      <c r="C2" s="20" t="inlineStr">
        <is>
          <t>Description</t>
        </is>
      </c>
      <c r="D2" s="20" t="inlineStr">
        <is>
          <t>Compares To</t>
        </is>
      </c>
      <c r="E2" s="20" t="inlineStr">
        <is>
          <t>Has UQ?</t>
        </is>
      </c>
      <c r="F2" s="20" t="inlineStr">
        <is>
          <t>UQ Method</t>
        </is>
      </c>
      <c r="G2" s="20" t="inlineStr">
        <is>
          <t>Metric Value</t>
        </is>
      </c>
      <c r="H2" s="20" t="inlineStr">
        <is>
          <t>Pass / Fail</t>
        </is>
      </c>
    </row>
    <row r="3" ht="32.8" customHeight="1" s="18">
      <c r="A3" s="39" t="inlineStr">
        <is>
          <t>Mesh Convergence and GCI Study</t>
        </is>
      </c>
      <c r="B3" s="39" t="inlineStr">
        <is>
          <t>ValidationResult</t>
        </is>
      </c>
      <c r="C3" s="22" t="inlineStr">
        <is>
          <t>What was done, what was found</t>
        </is>
      </c>
      <c r="D3" s="39" t="inlineStr">
        <is>
          <t>Three-level mesh refinement (1.2M, 2.4M, 4.8M cells) with y+ &lt; 1; Richardson extrapolation applied to peak tissue temperature at 2 mm and lesion depth</t>
        </is>
      </c>
      <c r="E3" s="39" t="inlineStr">
        <is>
          <t>Richardson extrapolated (grid-independent) solution</t>
        </is>
      </c>
      <c r="F3" s="39" t="inlineStr">
        <is>
          <t>Yes</t>
        </is>
      </c>
      <c r="G3" s="39" t="inlineStr">
        <is>
          <t>Richardson extrapolation / Grid Convergence Index (GCI)</t>
        </is>
      </c>
      <c r="H3" s="39" t="inlineStr">
        <is>
          <t>GCI 95% = 1.1% for T2mm; GCI 95% = 1.6% for lesion depth</t>
        </is>
      </c>
      <c r="I3" s="42" t="inlineStr">
        <is>
          <t>Pass</t>
        </is>
      </c>
    </row>
    <row r="4" ht="15" customHeight="1" s="18">
      <c r="A4" s="41" t="inlineStr">
        <is>
          <t>Time Step Sensitivity Study</t>
        </is>
      </c>
      <c r="B4" s="41" t="inlineStr">
        <is>
          <t>ValidationResult</t>
        </is>
      </c>
      <c r="C4" s="33" t="n"/>
      <c r="D4" s="41" t="inlineStr">
        <is>
          <t>Baseline time step 1 ms vs. halved step 0.5 ms; effect on T2mm and lesion depth assessed; iterative residuals monitored to convergence</t>
        </is>
      </c>
      <c r="E4" s="41" t="inlineStr">
        <is>
          <t>Halved time-step solution; iterative residual targets</t>
        </is>
      </c>
      <c r="F4" s="41" t="inlineStr">
        <is>
          <t>No</t>
        </is>
      </c>
      <c r="G4" s="33" t="n"/>
      <c r="H4" s="41" t="inlineStr">
        <is>
          <t>T2mm change 0.8%; lesion depth change 0.5%; energy residuals &lt;1e-8</t>
        </is>
      </c>
      <c r="I4" s="42" t="inlineStr">
        <is>
          <t>Pass</t>
        </is>
      </c>
    </row>
    <row r="5" ht="15" customHeight="1" s="18">
      <c r="A5" s="41" t="inlineStr">
        <is>
          <t>Method of Manufactured Solutions (MMS) Verification</t>
        </is>
      </c>
      <c r="B5" s="41" t="inlineStr">
        <is>
          <t>ValidationResult</t>
        </is>
      </c>
      <c r="C5" s="33" t="n"/>
      <c r="D5" s="41" t="inlineStr">
        <is>
          <t>MMS applied to transient conduction and coupled slab cases to verify second-order spatial convergence of temperature solution; UDF analytic source accuracy checked</t>
        </is>
      </c>
      <c r="E5" s="41" t="inlineStr">
        <is>
          <t>Analytic manufactured solution</t>
        </is>
      </c>
      <c r="F5" s="41" t="inlineStr">
        <is>
          <t>No</t>
        </is>
      </c>
      <c r="G5" s="33" t="n"/>
      <c r="H5" s="41" t="inlineStr">
        <is>
          <t>L2 convergence order 1.98–2.05; UDF error &lt; 0.1%</t>
        </is>
      </c>
      <c r="I5" s="42" t="inlineStr">
        <is>
          <t>Pass</t>
        </is>
      </c>
    </row>
    <row r="6" ht="15" customHeight="1" s="18">
      <c r="A6" s="41" t="inlineStr">
        <is>
          <t>Cross-Solver Code Verification</t>
        </is>
      </c>
      <c r="B6" s="41" t="inlineStr">
        <is>
          <t>ValidationResult</t>
        </is>
      </c>
      <c r="C6" s="33" t="n"/>
      <c r="D6" s="41" t="inlineStr">
        <is>
          <t>One operating point repeated in STAR-CCM+ 2023.3 and compared to Ansys Fluent result for T2mm and lesion depth</t>
        </is>
      </c>
      <c r="E6" s="41" t="inlineStr">
        <is>
          <t>STAR-CCM+ 2023.3 independent solver result</t>
        </is>
      </c>
      <c r="F6" s="41" t="inlineStr">
        <is>
          <t>No</t>
        </is>
      </c>
      <c r="G6" s="33" t="n"/>
      <c r="H6" s="41" t="inlineStr">
        <is>
          <t>T2mm within 1.4%; lesion depth within 0.9%</t>
        </is>
      </c>
      <c r="I6" s="42" t="inlineStr">
        <is>
          <t>Pass</t>
        </is>
      </c>
    </row>
    <row r="7" ht="15" customHeight="1" s="18">
      <c r="A7" s="41" t="inlineStr">
        <is>
          <t>Ex Vivo Bench Validation — Temperature and Lesion Depth</t>
        </is>
      </c>
      <c r="B7" s="41" t="inlineStr">
        <is>
          <t>ValidationResult</t>
        </is>
      </c>
      <c r="C7" s="33" t="n"/>
      <c r="D7" s="41" t="inlineStr">
        <is>
          <t>Model predictions of T2mm and lesion depth compared to thermocouple and IR camera measurements across 12 ex vivo porcine myocardium test points spanning the full labeling envelope (20–35 W, 0.10–0.30 m/s)</t>
        </is>
      </c>
      <c r="E7" s="41" t="inlineStr">
        <is>
          <t>Type T thermocouple (±0.3 °C) and IR camera (±0.2 °C) measurements; lesion depth physical measurement</t>
        </is>
      </c>
      <c r="F7" s="41" t="inlineStr">
        <is>
          <t>Yes</t>
        </is>
      </c>
      <c r="G7" s="41" t="inlineStr">
        <is>
          <t>Latin hypercube sampling (n=200) with mesh-correction; instrument and placement uncertainties propagated; posterior predictive checks</t>
        </is>
      </c>
      <c r="H7" s="41" t="inlineStr">
        <is>
          <t>T2mm MAE = 0.9 °C, RMSE = 1.1 °C; lesion depth MAE = 0.6 mm (8.4%); no systematic bias (p&gt;0.2); 95% interval for worst-case T2mm = 61.8–64.9 °C; P(T2mm &gt; 65 °C) &lt; 2%</t>
        </is>
      </c>
      <c r="I7" s="42" t="inlineStr">
        <is>
          <t>Pass</t>
        </is>
      </c>
    </row>
    <row r="8" ht="15" customHeight="1" s="18">
      <c r="A8" s="24" t="n"/>
      <c r="B8" s="24" t="n"/>
      <c r="C8" s="33" t="n"/>
      <c r="D8" s="33" t="n"/>
      <c r="E8" s="25" t="n"/>
      <c r="F8" s="33" t="n"/>
      <c r="G8" s="33" t="n"/>
      <c r="H8" s="33" t="n"/>
    </row>
    <row r="9" ht="15" customHeight="1" s="18">
      <c r="A9" s="24" t="n"/>
      <c r="B9" s="24" t="n"/>
      <c r="C9" s="33" t="n"/>
      <c r="D9" s="33" t="n"/>
      <c r="E9" s="25" t="n"/>
      <c r="F9" s="33" t="n"/>
      <c r="G9" s="33" t="n"/>
      <c r="H9" s="33" t="n"/>
    </row>
    <row r="10" ht="15" customHeight="1" s="18">
      <c r="A10" s="24" t="n"/>
      <c r="B10" s="24" t="n"/>
      <c r="C10" s="33" t="n"/>
      <c r="D10" s="33" t="n"/>
      <c r="E10" s="25" t="n"/>
      <c r="F10" s="33" t="n"/>
      <c r="G10" s="33" t="n"/>
      <c r="H10" s="33" t="n"/>
    </row>
    <row r="11" ht="15" customHeight="1" s="18">
      <c r="A11" s="24" t="n"/>
      <c r="B11" s="24" t="n"/>
      <c r="C11" s="33" t="n"/>
      <c r="D11" s="33" t="n"/>
      <c r="E11" s="25" t="n"/>
      <c r="F11" s="33" t="n"/>
      <c r="G11" s="33" t="n"/>
      <c r="H11" s="33" t="n"/>
    </row>
    <row r="12" ht="15" customHeight="1" s="18">
      <c r="A12" s="24" t="n"/>
      <c r="B12" s="24" t="n"/>
      <c r="C12" s="33" t="n"/>
      <c r="D12" s="33" t="n"/>
      <c r="E12" s="25" t="n"/>
      <c r="F12" s="33" t="n"/>
      <c r="G12" s="33" t="n"/>
      <c r="H12" s="33" t="n"/>
    </row>
    <row r="13" ht="15" customHeight="1" s="18">
      <c r="A13" s="24" t="n"/>
      <c r="B13" s="24" t="n"/>
      <c r="C13" s="33" t="n"/>
      <c r="D13" s="33" t="n"/>
      <c r="E13" s="25" t="n"/>
      <c r="F13" s="33" t="n"/>
      <c r="G13" s="33" t="n"/>
      <c r="H13" s="33" t="n"/>
    </row>
  </sheetData>
  <mergeCells count="1">
    <mergeCell ref="A1:H1"/>
  </mergeCells>
  <dataValidations count="2">
    <dataValidation sqref="E4:E13" showDropDown="0" showInputMessage="0" showErrorMessage="0" allowBlank="1" type="list" errorStyle="stop" operator="between">
      <formula1>list_has_uq</formula1>
      <formula2>0</formula2>
    </dataValidation>
    <dataValidation sqref="H4:H13" showDropDown="0" showInputMessage="0" showErrorMessage="0" allowBlank="1" type="list" errorStyle="stop" operator="between">
      <formula1>list_pass_fail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1"/>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17" min="1" max="1"/>
    <col width="25" customWidth="1" style="17" min="2" max="2"/>
    <col width="16" customWidth="1" style="17" min="3" max="4"/>
    <col width="40" customWidth="1" style="17" min="5" max="5"/>
    <col width="12" customWidth="1" style="17" min="6" max="6"/>
    <col width="22" customWidth="1" style="18" min="8" max="8"/>
  </cols>
  <sheetData>
    <row r="1" ht="30" customHeight="1" s="18">
      <c r="A1" s="19" t="inlineStr">
        <is>
          <t>Credibility Factors — V&amp;V 40 Table 5-1 Assessment</t>
        </is>
      </c>
    </row>
    <row r="2" ht="30" customHeight="1" s="18">
      <c r="A2" s="34" t="inlineStr">
        <is>
          <t>Complete profile only. Assess each relevant factor: set Required Level (goal given model risk) and Achieved Level (what evidence supports).</t>
        </is>
      </c>
    </row>
    <row r="3" ht="15" customHeight="1" s="18">
      <c r="A3" s="20" t="inlineStr">
        <is>
          <t>Factor Type</t>
        </is>
      </c>
      <c r="B3" s="20" t="inlineStr">
        <is>
          <t>Category</t>
        </is>
      </c>
      <c r="C3" s="20" t="inlineStr">
        <is>
          <t>Required Level</t>
        </is>
      </c>
      <c r="D3" s="20" t="inlineStr">
        <is>
          <t>Achieved Level</t>
        </is>
      </c>
      <c r="E3" s="21" t="inlineStr">
        <is>
          <t>Acceptance Criteria</t>
        </is>
      </c>
      <c r="F3" s="20" t="inlineStr">
        <is>
          <t>Rationale</t>
        </is>
      </c>
      <c r="G3" s="20" t="inlineStr">
        <is>
          <t>Factor Status</t>
        </is>
      </c>
      <c r="H3" s="37" t="inlineStr">
        <is>
          <t>Linked Evidence</t>
        </is>
      </c>
    </row>
    <row r="4" ht="22.35" customHeight="1" s="18">
      <c r="A4" s="22" t="inlineStr">
        <is>
          <t>V&amp;V 40 factor (pre-filled, do not edit)</t>
        </is>
      </c>
      <c r="B4" s="22" t="inlineStr">
        <is>
          <t>Grouping (pre-filled)</t>
        </is>
      </c>
      <c r="C4" s="22" t="inlineStr">
        <is>
          <t>Credibility goal for this factor (1-5)</t>
        </is>
      </c>
      <c r="D4" s="22" t="inlineStr">
        <is>
          <t>Level achieved by evidence (1-5)</t>
        </is>
      </c>
      <c r="E4" s="23" t="inlineStr">
        <is>
          <t>Goal and basis for the required level (from V&amp;V 40 Tables 3-4)</t>
        </is>
      </c>
      <c r="F4" s="22" t="inlineStr">
        <is>
          <t>Brief justification (esp. if achieved &lt; required)</t>
        </is>
      </c>
      <c r="G4" s="22" t="inlineStr">
        <is>
          <t>assessed / not-assessed / scoped-out / not-applicable</t>
        </is>
      </c>
      <c r="H4" s="38" t="inlineStr">
        <is>
          <t>URI of validation result that supports this factor (optional)</t>
        </is>
      </c>
    </row>
    <row r="5" ht="15" customHeight="1" s="18">
      <c r="A5" s="35" t="inlineStr">
        <is>
          <t>Software quality assurance</t>
        </is>
      </c>
      <c r="B5" s="36" t="inlineStr">
        <is>
          <t>Verification — Code</t>
        </is>
      </c>
      <c r="C5" s="41" t="n">
        <v>4</v>
      </c>
      <c r="D5" s="41" t="n">
        <v>5</v>
      </c>
      <c r="E5" s="42" t="inlineStr">
        <is>
          <t>Commercial solver with documented QA; regression testing; version control; independent reproducibility check</t>
        </is>
      </c>
      <c r="F5" s="41" t="inlineStr">
        <is>
          <t>Ansys Fluent 2024R1 used in double precision. UDF subjected to code review and unit tests with 100% branch coverage. CI pipeline includes regression tests on 9 cases. Configuration managed in Git (tag v1.6.2) with Fluent case hash; run logs and post-processing scripts archived in DVC. Cross-platform reproducibility confirmed: two clusters (AMD EPYC vs Intel Xeon) matched peak T within 0.05 °C. External SME (Dr. L. Chen) audited setup and case files; comments resolved via CR-142.</t>
        </is>
      </c>
      <c r="G5" s="41" t="inlineStr">
        <is>
          <t>assessed</t>
        </is>
      </c>
    </row>
    <row r="6" ht="15" customHeight="1" s="18">
      <c r="A6" s="36" t="inlineStr">
        <is>
          <t>Numerical code verification</t>
        </is>
      </c>
      <c r="B6" s="36" t="inlineStr">
        <is>
          <t>Verification — Code</t>
        </is>
      </c>
      <c r="C6" s="41" t="n">
        <v>4</v>
      </c>
      <c r="D6" s="41" t="n">
        <v>5</v>
      </c>
      <c r="E6" s="42" t="inlineStr">
        <is>
          <t>Comparison to analytical solutions or MMS demonstrating correct order of convergence; benchmark problem</t>
        </is>
      </c>
      <c r="F6" s="41" t="inlineStr">
        <is>
          <t>MMS applied to transient conduction and coupled slab problems; L2 spatial convergence order 1.98–2.05 (expected second order confirmed). UDF returns analytic source within 0.1%. Independent cross-solver check against STAR-CCM+ 2023.3 at one operating point (T2mm within 1.4%, lesion depth within 0.9%) provides additional code-level assurance.</t>
        </is>
      </c>
      <c r="G6" s="41" t="inlineStr">
        <is>
          <t>assessed</t>
        </is>
      </c>
    </row>
    <row r="7" ht="15" customHeight="1" s="18">
      <c r="A7" s="35" t="inlineStr">
        <is>
          <t>Discretization error</t>
        </is>
      </c>
      <c r="B7" s="36" t="inlineStr">
        <is>
          <t>Verification — Calculation</t>
        </is>
      </c>
      <c r="C7" s="41" t="n">
        <v>4</v>
      </c>
      <c r="D7" s="41" t="n">
        <v>4</v>
      </c>
      <c r="E7" s="42" t="inlineStr">
        <is>
          <t>Mesh convergence study with GCI reported; time-step sensitivity demonstrated</t>
        </is>
      </c>
      <c r="F7" s="41" t="inlineStr">
        <is>
          <t>Three-level mesh refinement (1.2M / 2.4M / 4.8M cells) with y+ &lt; 1 and 12 prism layers. Richardson extrapolation yields GCI 95% = 1.1% for T2mm and 1.6% for lesion depth. Time-step sensitivity: halving Δt from 1 ms to 0.5 ms changes T2mm by 0.8% and lesion depth by 0.5%. Backward Euler with second-order transient option tested. Mesh correction applied to UQ propagation runs.</t>
        </is>
      </c>
      <c r="G7" s="41" t="inlineStr">
        <is>
          <t>assessed</t>
        </is>
      </c>
    </row>
    <row r="8" ht="15" customHeight="1" s="18">
      <c r="A8" s="36" t="inlineStr">
        <is>
          <t>Numerical solver error</t>
        </is>
      </c>
      <c r="B8" s="36" t="inlineStr">
        <is>
          <t>Verification — Calculation</t>
        </is>
      </c>
      <c r="C8" s="41" t="n">
        <v>4</v>
      </c>
      <c r="D8" s="41" t="n">
        <v>4</v>
      </c>
      <c r="E8" s="42" t="inlineStr">
        <is>
          <t>Residual targets documented and met; convergence monitoring per time step</t>
        </is>
      </c>
      <c r="F8" s="41" t="inlineStr">
        <is>
          <t>Iterative residuals &lt; 1e-6 (energy &lt; 1e-8) per time step; 12 inner iterations per step ensures stable norms. Residual targets explicitly stated and monitored. Energy balance check: interfacial heat flux continuity satisfied to within 0.2% in all runs.</t>
        </is>
      </c>
      <c r="G8" s="41" t="inlineStr">
        <is>
          <t>assessed</t>
        </is>
      </c>
    </row>
    <row r="9" ht="15" customHeight="1" s="18">
      <c r="A9" s="36" t="inlineStr">
        <is>
          <t>Use error</t>
        </is>
      </c>
      <c r="B9" s="36" t="inlineStr">
        <is>
          <t>Verification — Calculation</t>
        </is>
      </c>
      <c r="C9" s="41" t="n">
        <v>4</v>
      </c>
      <c r="D9" s="41" t="n">
        <v>4</v>
      </c>
      <c r="E9" s="42" t="inlineStr">
        <is>
          <t>Independent review of model setup; boundary condition and mesh quality verification documented</t>
        </is>
      </c>
      <c r="F9" s="41" t="inlineStr">
        <is>
          <t>External SME Dr. L. Chen (not on development team) audited model setup and three case files; all comments resolved (CR-142). Mesh quality checked (y+ &lt; 1, 12 prism layers). Boundary conditions verified against test protocol with NIST-traceable calibrations. Reproducibility confirmed across two compute clusters. Configuration locked in Git with case hash.</t>
        </is>
      </c>
      <c r="G9" s="41" t="inlineStr">
        <is>
          <t>assessed</t>
        </is>
      </c>
    </row>
    <row r="10" ht="15" customHeight="1" s="18">
      <c r="A10" s="35" t="inlineStr">
        <is>
          <t>Model form</t>
        </is>
      </c>
      <c r="B10" s="36" t="inlineStr">
        <is>
          <t>Validation — Model</t>
        </is>
      </c>
      <c r="C10" s="41" t="n">
        <v>4</v>
      </c>
      <c r="D10" s="41" t="n">
        <v>3</v>
      </c>
      <c r="E10" s="42" t="inlineStr">
        <is>
          <t>Governing equations and turbulence model justified; key assumptions documented with rationale and scope limitations</t>
        </is>
      </c>
      <c r="F10" s="41" t="inlineStr">
        <is>
          <t>Conjugate heat transfer with incompressible k–ω SST at Re 300–900 is appropriate and selection is stated. Pennes perfusion term used for tissue. RF deposition modeled as volumetric heat source calibrated to fixture measurements from separate EM analysis at 500 kHz. Key assumptions documented: isotropic tissue conductivity, no boiling/phase change (bounded to &lt;65 °C at 2 mm), conformal contact gap, radiation neglected. Limitations explicitly listed (no boiling, no patient-specific geometry, no tissue anisotropy). Quantitative justification for turbulence model selection and boiling exclusion threshold beyond operating bound is adequate but not formally benchmarked against higher-fidelity models.</t>
        </is>
      </c>
      <c r="G10" s="41" t="inlineStr">
        <is>
          <t>assessed</t>
        </is>
      </c>
    </row>
    <row r="11" ht="15" customHeight="1" s="18">
      <c r="A11" s="36" t="inlineStr">
        <is>
          <t>Model inputs</t>
        </is>
      </c>
      <c r="B11" s="36" t="inlineStr">
        <is>
          <t>Validation — Model</t>
        </is>
      </c>
      <c r="C11" s="41" t="n">
        <v>4</v>
      </c>
      <c r="D11" s="41" t="n">
        <v>4</v>
      </c>
      <c r="E11" s="42" t="inlineStr">
        <is>
          <t>Material properties from testing or traceable literature; boundary conditions from calibrated measurements; input uncertainties characterized</t>
        </is>
      </c>
      <c r="F11" s="41" t="inlineStr">
        <is>
          <t>Geometry from vendor CAD (rev D) and CMM scan (tolerances ±0.1 mm). Boundary conditions (blood crossflow 0.10–0.30 m/s, irrigation 17–30 mL/min, RF power 20–35 W, contact force 10–25 g) measured per protocol with NIST-traceable calibrations. Tissue conductivity (0.52–0.72 S/m), thermal conductivity (0.53 W/m-K), and perfusion rate (0.004–0.012 s⁻¹) from literature with posterior estimates from calibration. EM-to-thermal source scaling factor calibrated from six gel-phantom runs; uncertainty 4.2% (95% CI). Global sensitivity analysis (Morris + Sobol) identifies dominant inputs: perfusion rate, contact gap, RF source scale.</t>
        </is>
      </c>
      <c r="G11" s="41" t="inlineStr">
        <is>
          <t>assessed</t>
        </is>
      </c>
    </row>
    <row r="12" ht="15" customHeight="1" s="18">
      <c r="A12" s="35" t="inlineStr">
        <is>
          <t>Test samples</t>
        </is>
      </c>
      <c r="B12" s="36" t="inlineStr">
        <is>
          <t>Validation — Comparator</t>
        </is>
      </c>
      <c r="C12" s="41" t="n">
        <v>4</v>
      </c>
      <c r="D12" s="41" t="n">
        <v>3</v>
      </c>
      <c r="E12" s="42" t="inlineStr">
        <is>
          <t>Adequate number of specimens with statistical characterization; production-representative samples; sample size justified</t>
        </is>
      </c>
      <c r="F12" s="41" t="inlineStr">
        <is>
          <t>12 ex vivo porcine myocardium runs with n=3 repeats at each of 4 operating conditions. Porcine myocardium is an accepted surrogate for cardiac tissue in ablation bench testing. Triplicate repeatability confirmed (T2mm variation &lt;0.3 °C). No formal sample size justification or statistical power calculation documented. Production-representative tissue characterization is not explicitly stated. Sample count is modest but spans the full operating envelope.</t>
        </is>
      </c>
      <c r="G12" s="41" t="inlineStr">
        <is>
          <t>assessed</t>
        </is>
      </c>
    </row>
    <row r="13" ht="15" customHeight="1" s="18">
      <c r="A13" s="36" t="inlineStr">
        <is>
          <t>Test conditions</t>
        </is>
      </c>
      <c r="B13" s="36" t="inlineStr">
        <is>
          <t>Validation — Comparator</t>
        </is>
      </c>
      <c r="C13" s="41" t="n">
        <v>4</v>
      </c>
      <c r="D13" s="41" t="n">
        <v>4</v>
      </c>
      <c r="E13" s="42" t="inlineStr">
        <is>
          <t>Calibrated instrumentation; controlled environment; measurement uncertainties reported; test standard referenced</t>
        </is>
      </c>
      <c r="F13" s="41" t="inlineStr">
        <is>
          <t>Type T thermocouples (40 AWG, ±0.3 °C) and IR camera (±0.2 °C) used with NIST-traceable calibrations for mass and flow benches. Spatial placement uncertainty ±0.2 mm. Tip force and insertion angle matched to ±2 g and ±3°. Instrument uncertainties explicitly stated. Test conditions (blood crossflow, irrigation rate, RF power, contact force) measured per documented protocol. No specific ASTM/ISO test standard cited, but calibration traceability and measurement uncertainty are well-documented.</t>
        </is>
      </c>
      <c r="G13" s="41" t="inlineStr">
        <is>
          <t>assessed</t>
        </is>
      </c>
    </row>
    <row r="14" ht="15" customHeight="1" s="18">
      <c r="A14" s="35" t="inlineStr">
        <is>
          <t>Equivalency of input parameters</t>
        </is>
      </c>
      <c r="B14" s="36" t="inlineStr">
        <is>
          <t>Validation — Assessment</t>
        </is>
      </c>
      <c r="C14" s="41" t="n">
        <v>4</v>
      </c>
      <c r="D14" s="41" t="n">
        <v>4</v>
      </c>
      <c r="E14" s="42" t="inlineStr">
        <is>
          <t>Model inputs demonstrated to match experimental conditions; measurement uncertainty propagated to input matching</t>
        </is>
      </c>
      <c r="F14" s="41" t="inlineStr">
        <is>
          <t>Péclet and Biot numbers within 7% of in silico values; saline jet Reynolds number within 10%. Tip force and insertion angle matched to ±2 g and ±3°. Boundary conditions in the model set to match test protocol measurements. Input uncertainty from measurements propagated through 200 Latin hypercube samples on mid-mesh with mesh-correction. Combined uncertainty budget includes instrument error, placement tolerance, and source-scale uncertainty.</t>
        </is>
      </c>
      <c r="G14" s="41" t="inlineStr">
        <is>
          <t>assessed</t>
        </is>
      </c>
    </row>
    <row r="15" ht="15" customHeight="1" s="18">
      <c r="A15" s="36" t="inlineStr">
        <is>
          <t>Output comparison</t>
        </is>
      </c>
      <c r="B15" s="36" t="inlineStr">
        <is>
          <t>Validation — Assessment</t>
        </is>
      </c>
      <c r="C15" s="41" t="n">
        <v>4</v>
      </c>
      <c r="D15" s="41" t="n">
        <v>4</v>
      </c>
      <c r="E15" s="42" t="inlineStr">
        <is>
          <t>Quantitative error metrics reported across multiple comparison points; statistical validation metrics; uncertainty bands on predictions</t>
        </is>
      </c>
      <c r="F15" s="41" t="inlineStr">
        <is>
          <t>Across 12 ex vivo test points: T2mm MAE = 0.9 °C, RMSE = 1.1 °C. Lesion depth MAE = 0.6 mm (8.4%). No systematic bias with power or flow (p &gt; 0.2). Worst-case 95% predictive interval for T2mm = 61.8–64.9 °C; P(T2mm &gt; 65 °C) &lt; 2%. Uncertainty budget explicitly combines instrument error, placement tolerance, and source-scale uncertainty with posterior predictive checks. Comparison spans full labeling envelope.</t>
        </is>
      </c>
      <c r="G15" s="41" t="inlineStr">
        <is>
          <t>assessed</t>
        </is>
      </c>
    </row>
    <row r="16" ht="15" customHeight="1" s="18">
      <c r="A16" s="35" t="inlineStr">
        <is>
          <t>Relevance of the quantities of interest</t>
        </is>
      </c>
      <c r="B16" s="36" t="inlineStr">
        <is>
          <t>Applicability</t>
        </is>
      </c>
      <c r="C16" s="41" t="n">
        <v>4</v>
      </c>
      <c r="D16" s="41" t="n">
        <v>4</v>
      </c>
      <c r="E16" s="42" t="inlineStr">
        <is>
          <t>QoI directly addresses safety/performance concern; measurable computationally and experimentally</t>
        </is>
      </c>
      <c r="F16" s="41" t="inlineStr">
        <is>
          <t>QoIs are peak tissue temperature at 2 mm depth (thermal safety margin, steam-pop risk) and lesion depth at 60 s (efficacy). Both are directly linked to labeling claims and clinical risk (steam-pop above 65 °C, under-treatment if lesion too shallow). Both are measurable experimentally (thermocouples, IR camera, post-ablation lesion measurement) and predicted by the model. QoIs are well-matched to the decision context.</t>
        </is>
      </c>
      <c r="G16" s="41" t="inlineStr">
        <is>
          <t>assessed</t>
        </is>
      </c>
    </row>
    <row r="17" ht="15" customHeight="1" s="18">
      <c r="A17" s="36" t="inlineStr">
        <is>
          <t>Relevance of the validation activities to the COU</t>
        </is>
      </c>
      <c r="B17" s="36" t="inlineStr">
        <is>
          <t>Applicability</t>
        </is>
      </c>
      <c r="C17" s="41" t="n">
        <v>4</v>
      </c>
      <c r="D17" s="41" t="n">
        <v>4</v>
      </c>
      <c r="E17" s="42" t="inlineStr">
        <is>
          <t>Validation conditions bracket the intended use envelope; same geometry, physics regime, and operating conditions; gaps identified</t>
        </is>
      </c>
      <c r="F17" s="41" t="inlineStr">
        <is>
          <t>Validation matrix (20/25/35 W, 0.10/0.20/0.30 m/s blood speed) fully brackets the intended labeling envelope (20–35 W, 0.10–0.30 m/s, 10–25 g, 17–30 mL/min). Same 3.5 mm tip geometry used. Ex vivo porcine myocardium is accepted cardiac tissue surrogate. Operating regime (Re 300–900, &lt;65 °C) matches model assumptions. Known gaps explicitly stated: no boiling/steam-pocket modeling, no patient-specific vascular geometry, tissue anisotropy neglected, not valid above 65 °C at 2 mm or for atypical flows &gt;0.5 m/s. Extrapolation beyond validated envelope not claimed.</t>
        </is>
      </c>
      <c r="G17" s="41" t="inlineStr">
        <is>
          <t>assessed</t>
        </is>
      </c>
    </row>
  </sheetData>
  <mergeCells count="2">
    <mergeCell ref="A2:F2"/>
    <mergeCell ref="A1:F1"/>
  </mergeCells>
  <dataValidations count="2">
    <dataValidation sqref="C5:D17" showDropDown="0" showInputMessage="0" showErrorMessage="0" allowBlank="1" type="list" errorStyle="stop" operator="between">
      <formula1>list_factor_level</formula1>
      <formula2>0</formula2>
    </dataValidation>
    <dataValidation sqref="F5:F17" showDropDown="0" showInputMessage="0" showErrorMessage="0" allowBlank="1" type="list" errorStyle="stop" operator="between">
      <formula1>list_assessed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E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60" customWidth="1" style="17" min="2" max="2"/>
    <col width="22" customWidth="1" style="17" min="3" max="3"/>
    <col width="25" customWidth="1" style="17" min="4" max="4"/>
    <col width="16" customWidth="1" style="17" min="5" max="5"/>
  </cols>
  <sheetData>
    <row r="1" ht="30" customHeight="1" s="18">
      <c r="A1" s="19" t="inlineStr">
        <is>
          <t>Decision — The credibility judgment</t>
        </is>
      </c>
    </row>
    <row r="2" ht="15" customHeight="1" s="18">
      <c r="A2" s="20" t="inlineStr">
        <is>
          <t>Decision Outcome</t>
        </is>
      </c>
      <c r="B2" s="20" t="inlineStr">
        <is>
          <t>Decision Rationale</t>
        </is>
      </c>
      <c r="C2" s="20" t="inlineStr">
        <is>
          <t>Criteria Set</t>
        </is>
      </c>
      <c r="D2" s="20" t="inlineStr">
        <is>
          <t>Decided By</t>
        </is>
      </c>
      <c r="E2" s="20" t="inlineStr">
        <is>
          <t>Decision Date</t>
        </is>
      </c>
    </row>
    <row r="3" ht="22.35" customHeight="1" s="18">
      <c r="A3" s="39" t="inlineStr">
        <is>
          <t>Accepted</t>
        </is>
      </c>
      <c r="B3" s="39" t="inlineStr">
        <is>
          <t>The CHT model meets all 13 credibility factors at or above the required levels for MRL 4. Numerical verification is thorough (MMS second-order convergence confirmed, GCI 95% &lt; 2% for both QoIs, cross-solver agreement within 1.4%). Validation against 12 ex vivo porcine myocardium test points spanning the full labeling envelope yields T2mm MAE = 0.9 °C and lesion depth MAE = 0.6 mm with no systematic bias. The worst-case 95% predictive interval for T2mm (61.8–64.9 °C) gives P(T2mm &gt; 65 °C) &lt; 2%, satisfying the thermal safety requirement. Known limitations (no boiling, no patient-specific geometry, no tissue anisotropy) are explicitly documented and bounded by the validated operating envelope. The model is accepted as a primary line of evidence alongside bench testing to support labeling submission, provided the stated limitations and operating bounds are included in the labeling documentation.</t>
        </is>
      </c>
      <c r="C3" s="22" t="inlineStr">
        <is>
          <t>Auto-filled from Assessment Summary</t>
        </is>
      </c>
      <c r="D3" s="39" t="inlineStr">
        <is>
          <t>CHT V&amp;V Team</t>
        </is>
      </c>
      <c r="E3" s="39" t="inlineStr">
        <is>
          <t>2026-08-06</t>
        </is>
      </c>
    </row>
    <row r="4" ht="15" customHeight="1" s="18">
      <c r="A4" s="24" t="n"/>
      <c r="B4" s="24" t="n"/>
      <c r="C4" s="25">
        <f>'Assessment Summary'!H4</f>
        <v/>
      </c>
      <c r="D4" s="25" t="n"/>
      <c r="E4" s="33" t="n"/>
    </row>
  </sheetData>
  <mergeCells count="1">
    <mergeCell ref="A1:E1"/>
  </mergeCells>
  <dataValidations count="1">
    <dataValidation sqref="A4" showDropDown="0" showInputMessage="0" showErrorMessage="0" allowBlank="0" error="Select Accepted, Not accepted, or Conditional" type="list" errorStyle="stop" operator="between">
      <formula1>list_decision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2026-03-31T17:48:36Z</dcterms:created>
  <dcterms:modified xmlns:dcterms="http://purl.org/dc/terms/" xmlns:xsi="http://www.w3.org/2001/XMLSchema-instance" xsi:type="dcterms:W3CDTF">2026-08-06T05:15:20Z</dcterms:modified>
  <cp:revision>0</cp:revision>
</cp:coreProperties>
</file>