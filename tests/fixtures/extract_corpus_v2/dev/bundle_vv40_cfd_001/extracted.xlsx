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LVAD-CFD-hem_v3.4</t>
        </is>
      </c>
      <c r="B3" s="39" t="inlineStr">
        <is>
          <t>CFD of centrifugal LVAD for pressure-flow (H-Q map) and blood damage (NIH) predictions to inform firmware guard bands and design screening prior to first-in-human evaluation</t>
        </is>
      </c>
      <c r="C3" s="39" t="inlineStr">
        <is>
          <t>A CFD model of a rotary blood pump (centrifugal LVAD, Rev E) is used to predict the hydraulic head-flow map across 2–6 L/min and 2400–3600 rpm, and to rank design variants by normalized index of hemolysis (NIH). The H-Q map seeds firmware speed-limiter curves and battery sizing; the NIH estimate prioritizes benchtop blood-loop tests and gates design iteration. Blood rheology is Carreau–Yasuda at Hct 40%, temperature 37 °C. Validation was performed against ISO 7199 hydraulic rig tests and ASTM F1841 bovine blood-loop hemolysis tests on the same Rev E pump.</t>
        </is>
      </c>
      <c r="D3" s="39" t="inlineStr">
        <is>
          <t>Complete</t>
        </is>
      </c>
      <c r="E3" s="39" t="inlineStr">
        <is>
          <t>Class III</t>
        </is>
      </c>
      <c r="F3" s="39" t="inlineStr">
        <is>
          <t>MRL 4</t>
        </is>
      </c>
      <c r="G3" s="39" t="inlineStr">
        <is>
          <t>High</t>
        </is>
      </c>
      <c r="H3" s="39" t="inlineStr">
        <is>
          <t>ASME-VV40-2018</t>
        </is>
      </c>
      <c r="I3" s="39" t="inlineStr">
        <is>
          <t>Fluid Systems Modeling Group</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Hydraulic H-Q map accuracy requirement</t>
        </is>
      </c>
      <c r="C3" s="22" t="inlineStr">
        <is>
          <t>Stable URI or local ID</t>
        </is>
      </c>
      <c r="D3" s="39" t="inlineStr">
        <is>
          <t>CFD-predicted head must agree with rig measurements to within 5% per operating point and overall MAPE &lt; 4% across the 2–6 L/min, 2400–3600 rpm envelope, with fine-mesh GCI &lt; 3%; used to set firmware speed-limiter curves and battery sizing margins.</t>
        </is>
      </c>
      <c r="E3" s="22" t="inlineStr">
        <is>
          <t>Version number (optional)</t>
        </is>
      </c>
      <c r="F3" s="22" t="inlineStr">
        <is>
          <t>Where this came from (optional)</t>
        </is>
      </c>
    </row>
    <row r="4" ht="15" customHeight="1" s="18">
      <c r="A4" s="41" t="inlineStr">
        <is>
          <t>Requirement</t>
        </is>
      </c>
      <c r="B4" s="41" t="inlineStr">
        <is>
          <t>NIH ranking and magnitude requirement</t>
        </is>
      </c>
      <c r="C4" s="24" t="n"/>
      <c r="D4" s="41" t="inlineStr">
        <is>
          <t>CFD-predicted NIH must show correct monotonic ranking across design variants (Rev D, E, E+) and absolute error &lt; 30% versus blood-loop bench data; used as a screening gate before full ISO 7199 / in vivo testing.</t>
        </is>
      </c>
      <c r="E4" s="33" t="n"/>
      <c r="F4" s="33" t="n"/>
    </row>
    <row r="5" ht="15" customHeight="1" s="18">
      <c r="A5" s="41" t="inlineStr">
        <is>
          <t>Model</t>
        </is>
      </c>
      <c r="B5" s="41" t="inlineStr">
        <is>
          <t>LVAD CFD model (ANSYS CFX/Fluent 2024 R1, hem_v3.4)</t>
        </is>
      </c>
      <c r="C5" s="24" t="n"/>
      <c r="D5" s="41" t="inlineStr">
        <is>
          <t>Incompressible isothermal Navier–Stokes with MRF/sliding-mesh rotating frame, k-ω SST with curvature correction, Carreau–Yasuda blood rheology, and a power-law hemolysis scalar transport surrogate (Giersiepen/Heuser–Opitz coefficients); poly-prism meshes 7.9–28.6 M cells.</t>
        </is>
      </c>
      <c r="E5" s="33" t="n"/>
      <c r="F5" s="33" t="n"/>
    </row>
    <row r="6" ht="15" customHeight="1" s="18">
      <c r="A6" s="41" t="inlineStr">
        <is>
          <t>Dataset</t>
        </is>
      </c>
      <c r="B6" s="41" t="inlineStr">
        <is>
          <t>ISO 7199 hydraulic rig test dataset (Rev E pump)</t>
        </is>
      </c>
      <c r="C6" s="24" t="n"/>
      <c r="D6" s="41" t="inlineStr">
        <is>
          <t>Pressure-rise and flow measurements at 15 operating points (2–6 L/min × 2400/3000/3600 rpm) using water–glycerol at 3.5 cP; Rosemount 3051 transducers (±0.075% span) and Transonic flowmeter (±2%), NIST-traceable calibration.</t>
        </is>
      </c>
      <c r="E6" s="33" t="n"/>
      <c r="F6" s="33" t="n"/>
    </row>
    <row r="7" ht="15" customHeight="1" s="18">
      <c r="A7" s="41" t="inlineStr">
        <is>
          <t>Dataset</t>
        </is>
      </c>
      <c r="B7" s="41" t="inlineStr">
        <is>
          <t>ASTM F1841 bovine blood-loop hemolysis dataset (Rev E pump)</t>
        </is>
      </c>
      <c r="C7" s="24" t="n"/>
      <c r="D7" s="41" t="inlineStr">
        <is>
          <t>Triplicate NIH measurements at 2400 rpm, 3/4/5 L/min for Rev D, E, and E+ variants; bovine blood Hct 38–42%, 37 °C ± 0.2 °C, 2-hour runs; CV 6.1% across triplicates.</t>
        </is>
      </c>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Hydraulic H-Q map validation against ISO 7199 rig data</t>
        </is>
      </c>
      <c r="B3" s="39" t="inlineStr">
        <is>
          <t>ValidationResult</t>
        </is>
      </c>
      <c r="C3" s="22" t="inlineStr">
        <is>
          <t>What was done, what was found</t>
        </is>
      </c>
      <c r="D3" s="39" t="inlineStr">
        <is>
          <t>CFD (Newtonian 3.5 cP, matched to rig fluid) head predictions compared against 15 measured operating points at 2400/3000/3600 rpm and 2–6 L/min. Acceptance criteria declared prior to comparison: pointwise error &lt; 5%, MAPE &lt; 4%.</t>
        </is>
      </c>
      <c r="E3" s="39" t="inlineStr">
        <is>
          <t>ISO 7199 water–glycerol rig measurements (artifacts ARIG-*)</t>
        </is>
      </c>
      <c r="F3" s="39" t="inlineStr">
        <is>
          <t>Yes</t>
        </is>
      </c>
      <c r="G3" s="39" t="inlineStr">
        <is>
          <t>Latin hypercube propagation (300 runs, coarse mesh + GCI correction) yielding 95% head interval [108.2, 112.7] mmHg at 3000 rpm/4 L/min; Sobol' first-order sensitivity indices on GP surrogate (LOO error 1.1%)</t>
        </is>
      </c>
      <c r="H3" s="39" t="inlineStr">
        <is>
          <t>MAPE 2.7%; worst-case pointwise error 4.9% (at 2 L/min/2400 rpm); lab repeat variability 1.3% (1σ); fine-mesh GCI 0.9% (95%)</t>
        </is>
      </c>
      <c r="I3" s="42" t="inlineStr">
        <is>
          <t>Pass</t>
        </is>
      </c>
    </row>
    <row r="4" ht="15" customHeight="1" s="18">
      <c r="A4" s="41" t="inlineStr">
        <is>
          <t>NIH blood damage validation against ASTM F1841 blood-loop data</t>
        </is>
      </c>
      <c r="B4" s="41" t="inlineStr">
        <is>
          <t>ValidationResult</t>
        </is>
      </c>
      <c r="C4" s="33" t="n"/>
      <c r="D4" s="41" t="inlineStr">
        <is>
          <t>Transient sliding-mesh CFD NIH predictions (power-law surrogate, Giersiepen and Heuser–Opitz coefficients) compared against triplicate blood-loop bench measurements for Rev D, E, and E+ at 2400 rpm and 3/4/5 L/min. Acceptance criteria pre-specified: absolute error &lt; 30%, correct design ranking.</t>
        </is>
      </c>
      <c r="E4" s="41" t="inlineStr">
        <is>
          <t>ASTM F1841 bovine blood-loop NIH triplicates (artifacts ABLD-*)</t>
        </is>
      </c>
      <c r="F4" s="41" t="inlineStr">
        <is>
          <t>Yes</t>
        </is>
      </c>
      <c r="G4" s="41" t="inlineStr">
        <is>
          <t>95% interval [0.026, 0.044] g/100 L from LHC propagation including damage coefficient epistemic spread and GCI correction; LES-informed upper-tail inflation (+10%) for tip-leakage-dominated points; Morris screening + Sobol' (LOO error 9.2% on GP surrogate)</t>
        </is>
      </c>
      <c r="H4" s="41" t="inlineStr">
        <is>
          <t>Bias +24% (baseline Giersiepen); +12% (alternate Heuser–Opitz); correct ranking across three designs; 5/9 test conditions bracketed by CFD 95% interval; time-step error 2.1% (target ≤ 3%)</t>
        </is>
      </c>
      <c r="I4" s="42" t="inlineStr">
        <is>
          <t>Pass</t>
        </is>
      </c>
    </row>
    <row r="5" ht="15" customHeight="1" s="18">
      <c r="A5" s="41" t="inlineStr">
        <is>
          <t>Mesh convergence study (Richardson extrapolation / GCI)</t>
        </is>
      </c>
      <c r="B5" s="41" t="inlineStr">
        <is>
          <t>ValidationResult</t>
        </is>
      </c>
      <c r="C5" s="33" t="n"/>
      <c r="D5" s="41" t="inlineStr">
        <is>
          <t>Three-mesh refinement study (7.9M / 14.8M / 28.6M cells) at 3000 rpm, 4 L/min; head values 109.1 / 110.5 / 111.0 mmHg; Richardson-extrapolated value 111.4 mmHg; observed order p ≈ 1.96; GCI computed via Roache's method.</t>
        </is>
      </c>
      <c r="E5" s="41" t="inlineStr">
        <is>
          <t>Richardson extrapolation zero-grid-size estimate</t>
        </is>
      </c>
      <c r="F5" s="41" t="inlineStr">
        <is>
          <t>No</t>
        </is>
      </c>
      <c r="G5" s="33" t="n"/>
      <c r="H5" s="41" t="inlineStr">
        <is>
          <t>Fine-grid GCI 0.9% (95% confidence); pre-specified target &lt; 3%</t>
        </is>
      </c>
      <c r="I5" s="42" t="inlineStr">
        <is>
          <t>Pass</t>
        </is>
      </c>
    </row>
    <row r="6" ht="15" customHeight="1" s="18">
      <c r="A6" s="41" t="inlineStr">
        <is>
          <t>Manufactured solution / numerical code verification</t>
        </is>
      </c>
      <c r="B6" s="41" t="inlineStr">
        <is>
          <t>ValidationResult</t>
        </is>
      </c>
      <c r="C6" s="33" t="n"/>
      <c r="D6" s="41" t="inlineStr">
        <is>
          <t>MMS test on cube domain (h = 1.0, 0.5, 0.25 mm); L2 error norms 2.5e-2, 6.3e-3, 1.6e-3; observed order 1.98. Also laminar manufactured vortex and rotating Couette with source term in Fluent (order 1.95–2.01). Taylor–Couette rotating-frame benchmark: torque within 1.2% of analytical at Re = 200.</t>
        </is>
      </c>
      <c r="E6" s="41" t="inlineStr">
        <is>
          <t>Analytical manufactured solution; analytical Taylor–Couette torque</t>
        </is>
      </c>
      <c r="F6" s="41" t="inlineStr">
        <is>
          <t>No</t>
        </is>
      </c>
      <c r="G6" s="33" t="n"/>
      <c r="H6" s="41" t="inlineStr">
        <is>
          <t>Observed spatial order 1.95–2.01 (target ~2); Taylor–Couette torque error 1.2%</t>
        </is>
      </c>
      <c r="I6" s="42" t="inlineStr">
        <is>
          <t>Pass</t>
        </is>
      </c>
    </row>
    <row r="7" ht="15" customHeight="1" s="18">
      <c r="A7" s="41" t="inlineStr">
        <is>
          <t>Independent analyst rerun (use-error / reproducibility check)</t>
        </is>
      </c>
      <c r="B7" s="41" t="inlineStr">
        <is>
          <t>ValidationResult</t>
        </is>
      </c>
      <c r="C7" s="33" t="n"/>
      <c r="D7" s="41" t="inlineStr">
        <is>
          <t>Separate analyst independently re-meshed (snappyHexMesh) and reran the 3000 rpm/4 L/min case. Head matched primary result within 1.1%; shear hotspot Dice coefficient 0.83 on iso-τ = 300 Pa surfaces. Hardware determinism check: two clusters/compilers differed &lt; 0.2% in head and &lt; 3% in NIH.</t>
        </is>
      </c>
      <c r="E7" s="41" t="inlineStr">
        <is>
          <t>Primary analyst CFD result (artifact ACFD-221)</t>
        </is>
      </c>
      <c r="F7" s="41" t="inlineStr">
        <is>
          <t>No</t>
        </is>
      </c>
      <c r="G7" s="33" t="n"/>
      <c r="H7" s="41" t="inlineStr">
        <is>
          <t>Head difference 1.1%; Dice coefficient 0.83; cross-compiler NIH difference &lt; 3%</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4</v>
      </c>
      <c r="D5" s="41" t="n">
        <v>5</v>
      </c>
      <c r="E5" s="42" t="inlineStr">
        <is>
          <t>Commercial solver with documented QA; version-controlled environment; regression testing</t>
        </is>
      </c>
      <c r="F5" s="41" t="inlineStr">
        <is>
          <t>ANSYS CFX/Fluent 2024 R1 (commercial solvers with established QA). All meshes, case files, and post-processing scripts under Git LFS/DVC pinned at tag 3.4.7 with container hash. Python driver PumpRunner 2.3 automates case generation. Nightly regression on reduced geometry monitors head and torque for drift. Runs containerized on Ubuntu 22.04 with exact solver patches documented; Slurm/Intel MPI scripts archived. Hardware determinism verified across two clusters/compilers (&lt; 0.2% head, &lt; 3% NIH). Senior external SME reviewed mesh strategy and change requests fully implemented before final runs.</t>
        </is>
      </c>
      <c r="G5" s="41" t="inlineStr">
        <is>
          <t>assessed</t>
        </is>
      </c>
    </row>
    <row r="6" ht="15" customHeight="1" s="18">
      <c r="A6" s="36" t="inlineStr">
        <is>
          <t>Numerical code verification</t>
        </is>
      </c>
      <c r="B6" s="36" t="inlineStr">
        <is>
          <t>Verification — Code</t>
        </is>
      </c>
      <c r="C6" s="41" t="n">
        <v>4</v>
      </c>
      <c r="D6" s="41" t="n">
        <v>5</v>
      </c>
      <c r="E6" s="42" t="inlineStr">
        <is>
          <t>MMS or benchmark comparisons demonstrating correct order of accuracy for the governing equations</t>
        </is>
      </c>
      <c r="F6" s="41" t="inlineStr">
        <is>
          <t>MMS tests performed in Fluent: laminar manufactured vortex and rotating Couette with source terms yielding observed spatial order 1.95–2.01 on poly meshes; temporal order ≈ 2.0 for unsteady manufactured field. Taylor–Couette rotating-frame benchmark at Re = 200 produced torque within 1.2% of analytical laminar solution. Grid spacing h = {1.0, 0.5, 0.25} mm cube test: L2 norms {2.5e-2, 6.3e-3, 1.6e-3}, observed order 1.98. CFX-vs-Fluent cross-code consistency check at 3000 rpm/4 L/min: head within 0.6% on matched meshes. Results documented in Appendix A and Section 4 of report.md and appendix.md.</t>
        </is>
      </c>
      <c r="G6" s="41" t="inlineStr">
        <is>
          <t>assessed</t>
        </is>
      </c>
    </row>
    <row r="7" ht="15" customHeight="1" s="18">
      <c r="A7" s="35" t="inlineStr">
        <is>
          <t>Discretization error</t>
        </is>
      </c>
      <c r="B7" s="36" t="inlineStr">
        <is>
          <t>Verification — Calculation</t>
        </is>
      </c>
      <c r="C7" s="41" t="n">
        <v>4</v>
      </c>
      <c r="D7" s="41" t="n">
        <v>4</v>
      </c>
      <c r="E7" s="42" t="inlineStr">
        <is>
          <t>GCI &lt; 3% for head on fine mesh; time-step error &lt; 5% for NIH</t>
        </is>
      </c>
      <c r="F7" s="41" t="inlineStr">
        <is>
          <t>Three-mesh refinement study (7.9M/14.8M/28.6M cells) at 3000 rpm/4 L/min; observed order p ≈ 1.96; fine-grid GCI 0.9% (95%, Roache method) vs. pre-specified target &lt; 3% — passed. Time-step sensitivity for hemolysis (Δt = 2e-4/1e-4/5e-5 s): damage differences +6.4%/+2.1% relative to finest; Δt = 1e-4 s selected giving 2.1% error vs. target ≤ 3% — passed. Mesh quality metrics documented (min orthogonality 0.24, max non-orthogonal 54°, average y+ 0.7 on fine grid). Discretization contribution to head UQ &lt; 1% of total variance. Full details in Appendices A and D and Section 4.</t>
        </is>
      </c>
      <c r="G7" s="41" t="inlineStr">
        <is>
          <t>assessed</t>
        </is>
      </c>
    </row>
    <row r="8" ht="15" customHeight="1" s="18">
      <c r="A8" s="36" t="inlineStr">
        <is>
          <t>Numerical solver error</t>
        </is>
      </c>
      <c r="B8" s="36" t="inlineStr">
        <is>
          <t>Verification — Calculation</t>
        </is>
      </c>
      <c r="C8" s="41" t="n">
        <v>4</v>
      </c>
      <c r="D8" s="41" t="n">
        <v>4</v>
      </c>
      <c r="E8" s="42" t="inlineStr">
        <is>
          <t>Scaled residuals below 1e-6; mass/energy imbalance &lt; 0.1%; integral monitor stabilized</t>
        </is>
      </c>
      <c r="F8" s="41" t="inlineStr">
        <is>
          <t>Steady MRF runs: scaled residuals (momentum, continuity, turbulence) below 1e-6; hemolysis scalar below 1e-7; mass imbalance &lt; 0.04%; kinetic-energy imbalance &lt; 0.2%; head H stabilized to &lt; 0.05% over last 200 iterations (1450 total). Transient sliding-mesh runs: sub-iterations 10–15 per time step reducing residuals below 1e-5; phase-averaged NIH repeatability over last 4 of 12 rotor passes within 1.8%. Detailed logs provided in Appendix A (report.md) and Appendix E (appendix.md).</t>
        </is>
      </c>
      <c r="G8" s="41" t="inlineStr">
        <is>
          <t>assessed</t>
        </is>
      </c>
    </row>
    <row r="9" ht="15" customHeight="1" s="18">
      <c r="A9" s="36" t="inlineStr">
        <is>
          <t>Use error</t>
        </is>
      </c>
      <c r="B9" s="36" t="inlineStr">
        <is>
          <t>Verification — Calculation</t>
        </is>
      </c>
      <c r="C9" s="41" t="n">
        <v>4</v>
      </c>
      <c r="D9" s="41" t="n">
        <v>4</v>
      </c>
      <c r="E9" s="42" t="inlineStr">
        <is>
          <t>Independent review of setup; boundary condition verification; mesh quality checks; reproducible pipeline</t>
        </is>
      </c>
      <c r="F9" s="41" t="inlineStr">
        <is>
          <t>Case setup by Analyst A, mesh by Analyst B (specialist), independent full rerun by Analyst C from separate team (head within 1.1%, Dice 0.83 on shear hotspots). External senior turbomachinery SME (Engineer E, not on program) reviewed mesh strategy, y+ maps, and convergence; issued two change requests (near-shaft prism layers; curvature correction) both implemented before final runs. Python driver PumpRunner 2.3 and containerized pipeline reduce manual transcription errors. All boundary condition rationales archived with artifact IDs (Appendix C). Pre-specified acceptance targets recorded in Appendix D prior to any comparison (JAMA J-COU-032 with immutable history).</t>
        </is>
      </c>
      <c r="G9" s="41" t="inlineStr">
        <is>
          <t>assessed</t>
        </is>
      </c>
    </row>
    <row r="10" ht="15" customHeight="1" s="18">
      <c r="A10" s="35" t="inlineStr">
        <is>
          <t>Model form</t>
        </is>
      </c>
      <c r="B10" s="36" t="inlineStr">
        <is>
          <t>Validation — Model</t>
        </is>
      </c>
      <c r="C10" s="41" t="n">
        <v>4</v>
      </c>
      <c r="D10" s="41" t="n">
        <v>3</v>
      </c>
      <c r="E10" s="42" t="inlineStr">
        <is>
          <t>Governing equations and closure choices justified; known limitations documented; model-form sensitivity quantified</t>
        </is>
      </c>
      <c r="F10" s="41" t="inlineStr">
        <is>
          <t>Incompressible isothermal Navier–Stokes with MRF/sliding-mesh justified for low-Mach (tip Mach &lt; 0.005) turbomachinery. k-ω SST with Spalart–Shur curvature correction selected with rationale; y+ ≤ 1 wall treatment. Model-form sensitivity explored: (i) Newtonian vs. Carreau–Yasuda (rheology branch); (ii) Giersiepen vs. Heuser–Opitz damage coefficients (±9–12% NIH bias); (iii) LES WALE spot check at 42M cells showing time-averaged H within 0.8% of RANS but peak shear 5–10% higher in tip leakage — used to inflate upper NIH uncertainty by 10%. Transitional flow not modeled (acknowledged worst outlier at low speed/flow). Cavitation omitted with NPSHr margin justification (&gt; 30 kPa). Single-temperature assumption justified by &lt; 0.5 °C bench temperature rise. Platelet activation and sublethal damage not captured; model restricted to ranking use only. Limitations clearly documented in Section 11.</t>
        </is>
      </c>
      <c r="G10" s="41" t="inlineStr">
        <is>
          <t>assessed</t>
        </is>
      </c>
    </row>
    <row r="11" ht="15" customHeight="1" s="18">
      <c r="A11" s="36" t="inlineStr">
        <is>
          <t>Model inputs</t>
        </is>
      </c>
      <c r="B11" s="36" t="inlineStr">
        <is>
          <t>Validation — Model</t>
        </is>
      </c>
      <c r="C11" s="41" t="n">
        <v>4</v>
      </c>
      <c r="D11" s="41" t="n">
        <v>4</v>
      </c>
      <c r="E11" s="42" t="inlineStr">
        <is>
          <t>Material properties and boundary conditions characterized with uncertainty; geometry verified against as-built parts</t>
        </is>
      </c>
      <c r="F11" s="41" t="inlineStr">
        <is>
          <t>Fluid properties: density 1050 kg/m³ at 37 °C; Carreau–Yasuda parameters with ±10% on μ∞ and ±15% on λ from fluid lab sheets; Newtonian branch 3.5 cP matched to rig fluid. Rotor speed tolerance ±10 rpm from vendor tachometer calibration. Tip clearance 60–100 μm range from metrology reports (nominal 80 μm per assembly measurement); incorporated into tolerance sweep. Blade fillet radius ±0.05 mm. Inflow turbulence intensity 5% ± 2% (triangular distribution). Geometry from production CAD Rev E-17; CMM reports confirmed &lt; 30 μm deviation on key features. Damage model epistemic parameters (C, α) characterized with literature range and fitted alternate set; aleatory/epistemic distinction noted. Morris screening identified dominant inputs; Sobol' indices quantified (S_tip ≈ 0.41, S_μ ≈ 0.27 for H; S_α ≈ 0.38, S_tip ≈ 0.31 for NIH).</t>
        </is>
      </c>
      <c r="G11" s="41" t="inlineStr">
        <is>
          <t>assessed</t>
        </is>
      </c>
    </row>
    <row r="12" ht="15" customHeight="1" s="18">
      <c r="A12" s="35" t="inlineStr">
        <is>
          <t>Test samples</t>
        </is>
      </c>
      <c r="B12" s="36" t="inlineStr">
        <is>
          <t>Validation — Comparator</t>
        </is>
      </c>
      <c r="C12" s="41" t="n">
        <v>3</v>
      </c>
      <c r="D12" s="41" t="n">
        <v>3</v>
      </c>
      <c r="E12" s="42" t="inlineStr">
        <is>
          <t>Production-representative test articles; adequate sample count; statistical characterization</t>
        </is>
      </c>
      <c r="F12" s="41" t="inlineStr">
        <is>
          <t>Hydraulic rig tests used the Rev E pump (same production CAD; CMM-verified &lt; 30 μm on key features). Blood-loop tests used triplicates on separate days for each of three design variants (Rev D, E, E+) across three flow rates — nine total NIH conditions with CV 6.1% across triplicates. Bovine blood Hct 38–42% (target 40%); temperature 36.8–37.2 °C. Only one pump unit described for each variant; sample size per condition is n = 3 (triplicates). Upper speed (3600 rpm) not tested in blood due to sample limitations. Experimental lead (Engineer D) was independent from CFD team.</t>
        </is>
      </c>
      <c r="G12" s="41" t="inlineStr">
        <is>
          <t>assessed</t>
        </is>
      </c>
    </row>
    <row r="13" ht="15" customHeight="1" s="18">
      <c r="A13" s="36" t="inlineStr">
        <is>
          <t>Test conditions</t>
        </is>
      </c>
      <c r="B13" s="36" t="inlineStr">
        <is>
          <t>Validation — Comparator</t>
        </is>
      </c>
      <c r="C13" s="41" t="n">
        <v>4</v>
      </c>
      <c r="D13" s="41" t="n">
        <v>4</v>
      </c>
      <c r="E13" s="42" t="inlineStr">
        <is>
          <t>Calibrated instruments with traceable uncertainty; controlled environment; recognized test standards followed</t>
        </is>
      </c>
      <c r="F13" s="41" t="inlineStr">
        <is>
          <t>Hydraulic tests per ISO 7199; Rosemount 3051 differential transducers calibrated within 30 days, as-left check within 0.02% span (±0.075% span accuracy); Transonic clamp-on flowmeter ±2%, factory calibration traceable to NIST. Repeatability across three test days: H CV 0.9% (1σ) at 3000 rpm/4 L/min. Blood-loop per ASTM F1841; temperature control ±0.2 °C; degassing to 40% saturation; no visible bubbles. NIH sampling and plasma-free hemoglobin computation per standard protocol. Raw CSV files and calibration certs archived with artifact IDs (Appendix C). Lab temperature 36.8–37.2 °C consistent with 37 °C model assumption.</t>
        </is>
      </c>
      <c r="G13" s="41" t="inlineStr">
        <is>
          <t>assessed</t>
        </is>
      </c>
    </row>
    <row r="14" ht="15" customHeight="1" s="18">
      <c r="A14" s="35" t="inlineStr">
        <is>
          <t>Equivalency of input parameters</t>
        </is>
      </c>
      <c r="B14" s="36" t="inlineStr">
        <is>
          <t>Validation — Assessment</t>
        </is>
      </c>
      <c r="C14" s="41" t="n">
        <v>4</v>
      </c>
      <c r="D14" s="41" t="n">
        <v>4</v>
      </c>
      <c r="E14" s="42" t="inlineStr">
        <is>
          <t>CFD boundary conditions demonstrably matched to experimental conditions; input discrepancies quantified</t>
        </is>
      </c>
      <c r="F14" s="41" t="inlineStr">
        <is>
          <t>Hydraulic comparison used Newtonian μ = 3.5 cP in CFD to match rig fluid (water–glycerol tuned to high-shear viscosity at 37 °C), explicitly avoiding rheology confounding. For hemolysis, Carreau–Yasuda CFD output post-processed to NIH via same power-law surrogate as bench metric (ASTM F1841 protocol). Non-dimensional similarity verified: impeller Reynolds number within ±5% across matched points; blade tip Mach &lt; 0.005; Strouhal &lt; 0.02. Geometry: CMM-confirmed &lt; 30 μm deviation on key features; tip clearance set to 80 μm per assembly measurement and varied 60–100 μm in sensitivity. Rotor speed ±10 rpm. Temperature 37 °C (bench 36.8–37.2 °C). Each plotted point linked to artifact ID (Appendix C).</t>
        </is>
      </c>
      <c r="G14" s="41" t="inlineStr">
        <is>
          <t>assessed</t>
        </is>
      </c>
    </row>
    <row r="15" ht="15" customHeight="1" s="18">
      <c r="A15" s="36" t="inlineStr">
        <is>
          <t>Output comparison</t>
        </is>
      </c>
      <c r="B15" s="36" t="inlineStr">
        <is>
          <t>Validation — Assessment</t>
        </is>
      </c>
      <c r="C15" s="41" t="n">
        <v>4</v>
      </c>
      <c r="D15" s="41" t="n">
        <v>4</v>
      </c>
      <c r="E15" s="42" t="inlineStr">
        <is>
          <t>Quantitative error metrics against pre-specified thresholds; multiple comparison points; uncertainty bands reported</t>
        </is>
      </c>
      <c r="F15" s="41" t="inlineStr">
        <is>
          <t>Hydraulic: 15 operating points; pre-specified thresholds (pointwise &lt; 5%, MAPE &lt; 4%) declared before comparison (JAMA J-COU-032); achieved MAPE 2.7%, worst case 4.9% — both targets met. H-Q curve slopes matched within 3%. 95% head interval [108.2, 112.7] mmHg (median 110.4) from LHC propagation. NIH: 9 bench conditions; bias +24% (baseline) / +12% (alternate coefficients); correct ranking across three designs; 5/9 conditions bracketed by 95% CFD interval; experimental triplicates (0.029, 0.031, 0.032 g/100 L) vs. CFD median 0.035; pre-specified target &lt; 30% error and correct ranking — met on average (two points at 5 L/min marginally exceeded 30% with baseline coefficients, documented with justification in JAMA). NIH ranking tie at 5 L/min (E vs. E+) documented as deviation with bench tie-breaker.</t>
        </is>
      </c>
      <c r="G15" s="41" t="inlineStr">
        <is>
          <t>assessed</t>
        </is>
      </c>
    </row>
    <row r="16" ht="15" customHeight="1" s="18">
      <c r="A16" s="35" t="inlineStr">
        <is>
          <t>Relevance of the quantities of interest</t>
        </is>
      </c>
      <c r="B16" s="36" t="inlineStr">
        <is>
          <t>Applicability</t>
        </is>
      </c>
      <c r="C16" s="41" t="n">
        <v>4</v>
      </c>
      <c r="D16" s="41" t="n">
        <v>4</v>
      </c>
      <c r="E16" s="42" t="inlineStr">
        <is>
          <t>QoIs directly measure the safety/performance concern and are measurable both computationally and experimentally</t>
        </is>
      </c>
      <c r="F16" s="41" t="inlineStr">
        <is>
          <t>Head (H-Q map) directly governs firmware speed-limiter curves and battery sizing — the primary engineering decision. NIH directly indexes blood damage potential and is the standard metric for screening hemolysis (ASTM F1841). Both QoIs are computed by the CFD model and measured in the corresponding bench tests using the same definitions (pressure rise across pump; NIH per ASTM F1841), enabling direct comparison. Sensitivity analysis (Morris + Sobol') confirms dominant physical drivers are captured in both QoIs. The applicability of NIH as a clinical safety endpoint is explicitly bounded: it is used for ranking and screening, not for absolute clinical claims.</t>
        </is>
      </c>
      <c r="G16" s="41" t="inlineStr">
        <is>
          <t>assessed</t>
        </is>
      </c>
    </row>
    <row r="17" ht="15" customHeight="1" s="18">
      <c r="A17" s="36" t="inlineStr">
        <is>
          <t>Relevance of the validation activities to the COU</t>
        </is>
      </c>
      <c r="B17" s="36" t="inlineStr">
        <is>
          <t>Applicability</t>
        </is>
      </c>
      <c r="C17" s="41" t="n">
        <v>4</v>
      </c>
      <c r="D17" s="41" t="n">
        <v>3</v>
      </c>
      <c r="E17" s="42" t="inlineStr">
        <is>
          <t>Validation conditions cover the full intended operating envelope; same geometry, physics regime, and fluid; gaps identified and bounded</t>
        </is>
      </c>
      <c r="F17" s="41" t="inlineStr">
        <is>
          <t>Hydraulic validation covers all three speeds (2400/3000/3600 rpm) and all five flow rates (2–6 L/min) — full COU envelope tested one-to-one. NIH validation covers only 2400 rpm (one of three intended speeds) and three flow rates; 3000 and 3600 rpm blood-loop data absent due to sample limitations — a documented gap. Extrapolation to higher speeds involves uncertainty in damage law exponent at different shear levels and residence times. Geometry: as-tested Rev E parts with CMM verification. Fluid: rig used water–glycerol matched to high-shear viscosity; blood-loop used bovine blood Hct 38–42% (COU is Hct 35–45%) — minor gap noted. Operating Reynolds numbers within ±5%; Mach and Strouhal numbers confirm same flow regime. Transitional effects at lowest operating point (2 L/min/2400 rpm) not fully captured. Limitations and extrapolation risks documented in Sections 6 and 11.</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CFD model LVAD-CFD-hem_v3.4 is accepted for its two stated contexts of use subject to documented conditions. For the hydraulic H-Q map: all pre-specified acceptance criteria were met (MAPE 2.7% &lt; 4%; all points within 5% except the documented worst-case 4.9% at 2 L/min/2400 rpm; fine-mesh GCI 0.9% &lt; 3%; independent rerun within 1.1%). The model is fit to set firmware speed-limiter curves and size the battery pack within the 2–6 L/min, 2400–3600 rpm envelope. For NIH screening: pre-specified criteria were met on average (bias &lt; 30%; correct design ranking across Rev D/E/E+); two points at 5 L/min marginally exceeded the 30% threshold with baseline coefficients and are documented with justification. The model is accepted for design ranking and screening gate decisions only — not for absolute clinical hemolysis claims or patient risk quantification. Conditions recorded: (1) if operation below 2 L/min is contemplated, a transitional turbulence model (γ–Reθ) must be incorporated; (2) blood-loop validation at 3000 and 3600 rpm should be obtained before extending NIH screening to those speeds; (3) cavitation modeling is required if inlet pressures fall within 30 kPa of NPSHr; (4) NIH results must not be used to set absolute clinical safety limits without in vitro and in vivo data; (5) NIH ranking tie between Rev E and E+ at 5 L/min is resolved by bench data (E+ favored) and is recorded in JAMA J-COU-032.</t>
        </is>
      </c>
      <c r="C3" s="22" t="inlineStr">
        <is>
          <t>Auto-filled from Assessment Summary</t>
        </is>
      </c>
      <c r="D3" s="39" t="inlineStr">
        <is>
          <t>Fluid Systems Modeling Group</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2026-08-06T04:57:38Z</dcterms:modified>
  <cp:revision>0</cp:revision>
</cp:coreProperties>
</file>