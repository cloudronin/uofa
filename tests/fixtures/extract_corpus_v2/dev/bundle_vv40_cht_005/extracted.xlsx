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_Lists" sheetId="3" state="hidden" r:id="rId3"/>
    <sheet xmlns:r="http://schemas.openxmlformats.org/officeDocument/2006/relationships" name="Model &amp; Data"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definedName name="list_assessed" hidden="0" function="0" vbProcedure="0">_Lists!$J$2:$J$4</definedName>
    <definedName name="list_assurance" hidden="0" function="0" vbProcedure="0">_Lists!$D$2:$D$4</definedName>
    <definedName name="list_decision" hidden="0" function="0" vbProcedure="0">_Lists!$K$2:$K$4</definedName>
    <definedName name="list_device_class" hidden="0" function="0" vbProcedure="0">_Lists!$B$2:$B$10</definedName>
    <definedName name="list_entity_type" hidden="0" function="0" vbProcedure="0">_Lists!$F$2:$F$4</definedName>
    <definedName name="list_factor_level" hidden="0" function="0" vbProcedure="0">_Lists!$I$2:$I$5</definedName>
    <definedName name="list_has_uq" hidden="0" function="0" vbProcedure="0">_Lists!$G$2:$G$3</definedName>
    <definedName name="list_mrl" hidden="0" function="0" vbProcedure="0">_Lists!$C$2:$C$6</definedName>
    <definedName name="list_pass_fail" hidden="0" function="0" vbProcedure="0">_Lists!$H$2:$H$5</definedName>
    <definedName name="list_profile" hidden="0" function="0" vbProcedure="0">_Lists!$A$2:$A$3</definedName>
    <definedName name="list_standards" hidden="0" function="0" vbProcedure="0">_Lists!$E$2:$E$5</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1B4F72"/>
      <sz val="14"/>
    </font>
    <font>
      <name val="Arial"/>
      <charset val="1"/>
      <family val="0"/>
      <b val="1"/>
      <color rgb="FFFFFFFF"/>
      <sz val="10"/>
    </font>
    <font>
      <name val="Arial"/>
      <charset val="1"/>
      <family val="0"/>
      <i val="1"/>
      <color rgb="FF666666"/>
      <sz val="9"/>
    </font>
    <font>
      <name val="Arial"/>
      <charset val="1"/>
      <family val="0"/>
      <sz val="10"/>
    </font>
    <font>
      <name val="Arial"/>
      <charset val="1"/>
      <family val="0"/>
      <b val="1"/>
      <sz val="9"/>
    </font>
    <font>
      <name val="Arial"/>
      <charset val="1"/>
      <family val="0"/>
      <sz val="9"/>
    </font>
    <font>
      <name val="Arial"/>
      <charset val="1"/>
      <family val="0"/>
      <b val="1"/>
      <color rgb="FF1B4F72"/>
      <sz val="10"/>
    </font>
    <font>
      <name val="Cambria"/>
      <charset val="1"/>
      <family val="0"/>
      <b val="1"/>
      <sz val="11"/>
    </font>
    <font>
      <name val="Arial"/>
      <charset val="1"/>
      <family val="0"/>
      <i val="1"/>
      <color rgb="FF555555"/>
      <sz val="10"/>
    </font>
    <font>
      <name val="Arial"/>
      <charset val="1"/>
      <family val="0"/>
      <b val="1"/>
      <sz val="10"/>
    </font>
    <font>
      <name val="Arial"/>
      <b val="1"/>
      <color rgb="00FFFFFF"/>
      <sz val="10"/>
    </font>
    <font>
      <name val="Arial"/>
      <color rgb="00666666"/>
      <sz val="9"/>
    </font>
  </fonts>
  <fills count="10">
    <fill>
      <patternFill/>
    </fill>
    <fill>
      <patternFill patternType="gray125"/>
    </fill>
    <fill>
      <patternFill patternType="solid">
        <fgColor rgb="FF1B4F72"/>
        <bgColor rgb="FF333399"/>
      </patternFill>
    </fill>
    <fill>
      <patternFill patternType="solid">
        <fgColor rgb="FFF2F3F4"/>
        <bgColor rgb="FFFFFFFF"/>
      </patternFill>
    </fill>
    <fill>
      <patternFill patternType="solid">
        <fgColor rgb="FFD6EAF8"/>
        <bgColor rgb="FFD5F5E3"/>
      </patternFill>
    </fill>
    <fill>
      <patternFill patternType="solid">
        <fgColor rgb="FFD5F5E3"/>
        <bgColor rgb="FFD6EAF8"/>
      </patternFill>
    </fill>
    <fill>
      <patternFill patternType="solid">
        <fgColor rgb="FFFFFFFF"/>
        <bgColor rgb="FFF2F3F4"/>
      </patternFill>
    </fill>
    <fill>
      <patternFill patternType="solid">
        <fgColor rgb="001B4F72"/>
      </patternFill>
    </fill>
    <fill>
      <patternFill patternType="solid">
        <fgColor rgb="00F2F3F4"/>
      </patternFill>
    </fill>
    <fill>
      <patternFill patternType="solid">
        <fgColor rgb="00FFEB9C"/>
        <bgColor rgb="00FFEB9C"/>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general" vertical="top" wrapText="1"/>
    </xf>
    <xf numFmtId="0" fontId="6" fillId="0" borderId="0" pivotButton="0" quotePrefix="0" xfId="0"/>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14" fillId="7" borderId="2" applyAlignment="1" pivotButton="0" quotePrefix="0" xfId="0">
      <alignment horizontal="center" vertical="center" wrapText="1"/>
    </xf>
    <xf numFmtId="0" fontId="15" fillId="8" borderId="2" applyAlignment="1" pivotButton="0" quotePrefix="0" xfId="0">
      <alignment vertical="top" wrapText="1"/>
    </xf>
    <xf numFmtId="0" fontId="6" fillId="9" borderId="1" applyAlignment="1" pivotButton="0" quotePrefix="0" xfId="0">
      <alignment horizontal="general" vertical="top" wrapText="1"/>
    </xf>
    <xf numFmtId="0" fontId="6" fillId="9" borderId="0" pivotButton="0" quotePrefix="0" xfId="0"/>
    <xf numFmtId="0" fontId="7" fillId="9" borderId="1" applyAlignment="1" pivotButton="0" quotePrefix="0" xfId="0">
      <alignment horizontal="general" vertical="top" wrapText="1"/>
    </xf>
    <xf numFmtId="0" fontId="0" fillId="9"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3F4"/>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F5E3"/>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B4F72"/>
      <rgbColor rgb="FF339966"/>
      <rgbColor rgb="FF003300"/>
      <rgbColor rgb="FF333300"/>
      <rgbColor rgb="FF993300"/>
      <rgbColor rgb="FF993366"/>
      <rgbColor rgb="FF333399"/>
      <rgbColor rgb="FF55555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G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H7" authorId="0" shapeId="0">
      <text>
        <t>[Extract] | Confidence: 50%</t>
      </text>
    </comment>
    <comment ref="I7"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filterMode="0">
    <outlinePr summaryBelow="1" summaryRight="1"/>
    <pageSetUpPr fitToPage="1"/>
  </sheetPr>
  <dimension ref="A1:L6"/>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30" customWidth="1" style="17" min="2" max="2"/>
    <col width="40" customWidth="1" style="17" min="3" max="3"/>
    <col width="12" customWidth="1" style="17" min="4" max="4"/>
    <col width="14" customWidth="1" style="17" min="5" max="5"/>
    <col width="16" customWidth="1" style="17" min="6" max="6"/>
    <col width="14" customWidth="1" style="17" min="7" max="7"/>
    <col width="20" customWidth="1" style="17" min="8" max="8"/>
    <col width="22" customWidth="1" style="17" min="9" max="9"/>
    <col width="16" customWidth="1" style="17" min="10" max="10"/>
    <col width="30" customWidth="1" style="17" min="11" max="11"/>
  </cols>
  <sheetData>
    <row r="1" ht="30" customHeight="1" s="18">
      <c r="A1" s="19" t="inlineStr">
        <is>
          <t>Unit of Assurance — Assessment Summary</t>
        </is>
      </c>
    </row>
    <row r="2" ht="23.85" customHeight="1" s="18">
      <c r="A2" s="20" t="inlineStr">
        <is>
          <t>Project Name</t>
        </is>
      </c>
      <c r="B2" s="20" t="inlineStr">
        <is>
          <t>COU Name</t>
        </is>
      </c>
      <c r="C2" s="20" t="inlineStr">
        <is>
          <t>COU Description</t>
        </is>
      </c>
      <c r="D2" s="20" t="inlineStr">
        <is>
          <t>Profile</t>
        </is>
      </c>
      <c r="E2" s="20" t="inlineStr">
        <is>
          <t>Device Class</t>
        </is>
      </c>
      <c r="F2" s="20" t="inlineStr">
        <is>
          <t>Model Risk Level</t>
        </is>
      </c>
      <c r="G2" s="20" t="inlineStr">
        <is>
          <t>Assurance Level</t>
        </is>
      </c>
      <c r="H2" s="20" t="inlineStr">
        <is>
          <t>Standards Reference</t>
        </is>
      </c>
      <c r="I2" s="20" t="inlineStr">
        <is>
          <t>Assessor Name</t>
        </is>
      </c>
      <c r="J2" s="20" t="inlineStr">
        <is>
          <t>Assessment Date</t>
        </is>
      </c>
      <c r="K2" s="20" t="inlineStr">
        <is>
          <t>Source Document</t>
        </is>
      </c>
      <c r="L2" s="21" t="inlineStr">
        <is>
          <t>Has UQ?</t>
        </is>
      </c>
    </row>
    <row r="3" ht="32.8" customHeight="1" s="18">
      <c r="A3" s="39" t="inlineStr">
        <is>
          <t>Ares-B3 Conjugate Thermal-Fluid Assessment</t>
        </is>
      </c>
      <c r="B3" s="39" t="inlineStr">
        <is>
          <t>Predict hottest device-base temperature (VRM2) and fan operating point for M3 gate decision at nominal 25°C ambient</t>
        </is>
      </c>
      <c r="C3" s="39" t="inlineStr">
        <is>
          <t>Conjugate thermal-fluid CFD model of a 3U telecom compute module (450 W, dual 80 mm fans, four finned heat sinks) used to confirm VRM2 base temperature remains at or below 85°C at nominal ambient, estimate module pressure drop and fan operating point, and assess radiation contribution. Model is not intended for altitude, shock/vibration, or off-nominal fan-speed scenarios.</t>
        </is>
      </c>
      <c r="D3" s="39" t="inlineStr">
        <is>
          <t>Complete</t>
        </is>
      </c>
      <c r="E3" s="39" t="inlineStr">
        <is>
          <t>N/A</t>
        </is>
      </c>
      <c r="F3" s="39" t="inlineStr">
        <is>
          <t>MRL 3</t>
        </is>
      </c>
      <c r="G3" s="39" t="inlineStr">
        <is>
          <t>Medium</t>
        </is>
      </c>
      <c r="H3" s="39" t="inlineStr">
        <is>
          <t>ASME-VV40-2018</t>
        </is>
      </c>
      <c r="I3" s="39" t="inlineStr">
        <is>
          <t>Thermal Systems Group, Platform Engineering</t>
        </is>
      </c>
      <c r="J3" s="22" t="inlineStr">
        <is>
          <t>Date of this assessment (YYYY-MM-DD)</t>
        </is>
      </c>
      <c r="K3" s="22" t="inlineStr">
        <is>
          <t>DOI, report number, or URI</t>
        </is>
      </c>
      <c r="L3" s="40" t="inlineStr">
        <is>
          <t>Yes</t>
        </is>
      </c>
    </row>
    <row r="4" ht="15" customHeight="1" s="18">
      <c r="A4" s="24" t="n"/>
      <c r="B4" s="24" t="n"/>
      <c r="C4" s="25" t="n"/>
      <c r="D4" s="24" t="n"/>
      <c r="E4" s="25" t="n"/>
      <c r="F4" s="25" t="n"/>
      <c r="G4" s="25" t="n"/>
      <c r="H4" s="25" t="n"/>
      <c r="I4" s="24" t="n"/>
      <c r="J4" s="24" t="n"/>
      <c r="K4" s="25" t="n"/>
    </row>
    <row r="6" ht="15" customHeight="1" s="18">
      <c r="A6" s="26" t="inlineStr">
        <is>
          <t>Legend:</t>
        </is>
      </c>
      <c r="C6" s="27" t="inlineStr">
        <is>
          <t>Required (Minimal)</t>
        </is>
      </c>
      <c r="D6" s="28" t="inlineStr">
        <is>
          <t>Required (Complete)</t>
        </is>
      </c>
      <c r="E6" s="29" t="inlineStr">
        <is>
          <t>Optional</t>
        </is>
      </c>
    </row>
  </sheetData>
  <mergeCells count="2">
    <mergeCell ref="A1:K1"/>
    <mergeCell ref="A6:B6"/>
  </mergeCells>
  <dataValidations count="5">
    <dataValidation sqref="D4" showDropDown="0" showInputMessage="0" showErrorMessage="0" allowBlank="0" error="Select Minimal or Complete" type="list" errorStyle="stop" operator="between">
      <formula1>list_profile</formula1>
      <formula2>0</formula2>
    </dataValidation>
    <dataValidation sqref="E4" showDropDown="0" showInputMessage="0" showErrorMessage="0" allowBlank="1" type="list" errorStyle="stop" operator="between">
      <formula1>list_device_class</formula1>
      <formula2>0</formula2>
    </dataValidation>
    <dataValidation sqref="F4" showDropDown="0" showInputMessage="0" showErrorMessage="0" allowBlank="1" type="list" errorStyle="stop" operator="between">
      <formula1>list_mrl</formula1>
      <formula2>0</formula2>
    </dataValidation>
    <dataValidation sqref="G4" showDropDown="0" showInputMessage="0" showErrorMessage="0" allowBlank="1" type="list" errorStyle="stop" operator="between">
      <formula1>list_assurance</formula1>
      <formula2>0</formula2>
    </dataValidation>
    <dataValidation sqref="H4" showDropDown="0" showInputMessage="0" showErrorMessage="0" allowBlank="1" type="list" errorStyle="stop" operator="between">
      <formula1>list_standards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1"/>
  </sheetPr>
  <dimension ref="A1:B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7" min="1" max="1"/>
    <col width="90" customWidth="1" style="17" min="2" max="2"/>
  </cols>
  <sheetData>
    <row r="1" ht="30" customHeight="1" s="18">
      <c r="A1" s="19" t="inlineStr">
        <is>
          <t>UofA Excel Template — Instructions</t>
        </is>
      </c>
    </row>
    <row r="3" ht="39.75" customHeight="1" s="18">
      <c r="A3" s="30" t="inlineStr">
        <is>
          <t>What is this?</t>
        </is>
      </c>
      <c r="B3" s="31" t="inlineStr">
        <is>
          <t>This workbook captures a credibility assessment for one Context of Use (COU). Fill it out, then run `uofa import` to convert it to a machine-verifiable evidence package.</t>
        </is>
      </c>
    </row>
    <row r="4" ht="39.75" customHeight="1" s="18">
      <c r="A4" s="30" t="inlineStr">
        <is>
          <t>One workbook = one COU</t>
        </is>
      </c>
      <c r="B4" s="31" t="inlineStr">
        <is>
          <t>If your project has multiple COUs (e.g., different device classes or risk levels for the same model), create a separate workbook for each.</t>
        </is>
      </c>
    </row>
    <row r="5" ht="39.75" customHeight="1" s="18">
      <c r="A5" s="30" t="inlineStr">
        <is>
          <t>Profiles</t>
        </is>
      </c>
      <c r="B5" s="31" t="inlineStr">
        <is>
          <t>Minimal (7 fields, lightweight audit trail) is for early-stage projects or live pipeline capture. Complete (full V&amp;V 40 assessment) is for regulatory submissions.</t>
        </is>
      </c>
    </row>
    <row r="6" ht="39.75" customHeight="1" s="18">
      <c r="A6" s="30" t="inlineStr">
        <is>
          <t>Color coding</t>
        </is>
      </c>
      <c r="B6" s="31" t="inlineStr">
        <is>
          <t>Blue cells = required for Minimal profile. Green cells = required for Complete profile. White cells = optional.</t>
        </is>
      </c>
    </row>
    <row r="7" ht="39.75" customHeight="1" s="18">
      <c r="A7" s="30" t="inlineStr">
        <is>
          <t>Credibility Factors</t>
        </is>
      </c>
      <c r="B7" s="31" t="inlineStr">
        <is>
          <t>Sheet 4 is pre-populated with all 13 V&amp;V 40 factors from Table 5-1. You do not need to assess all 13 — set Assessed = "No" or "N/A" for factors not relevant to your COU.</t>
        </is>
      </c>
    </row>
    <row r="8" ht="39.75" customHeight="1" s="18">
      <c r="A8" s="30" t="inlineStr">
        <is>
          <t>Dropdowns</t>
        </is>
      </c>
      <c r="B8" s="31" t="inlineStr">
        <is>
          <t>Most constrained fields use dropdown lists. If you need a custom value not in the dropdown, type it directly (the validation will warn but not prevent entry).</t>
        </is>
      </c>
    </row>
    <row r="9" ht="39.75" customHeight="1" s="18">
      <c r="A9" s="30" t="inlineStr">
        <is>
          <t>After filling out</t>
        </is>
      </c>
      <c r="B9" s="31" t="inlineStr">
        <is>
          <t>Run: uofa import your-file.xlsx --sign --key keys/your.key --check</t>
        </is>
      </c>
    </row>
    <row r="10" ht="39.75" customHeight="1" s="18">
      <c r="A10" s="30" t="inlineStr">
        <is>
          <t>What the tool checks</t>
        </is>
      </c>
      <c r="B10" s="31" t="inlineStr">
        <is>
          <t>Gate 1 (SHACL): Are all required fields present? Gate 2 (Jena rules): Are there quality gaps (weakeners)? Gate 3 (Integrity): Is the hash and signature valid?</t>
        </is>
      </c>
    </row>
    <row r="11" ht="39.75" customHeight="1" s="18">
      <c r="A11" s="30" t="inlineStr">
        <is>
          <t>More info</t>
        </is>
      </c>
      <c r="B11" s="31" t="inlineStr">
        <is>
          <t>https://crediblesimulation.com | https://github.com/cloudronin/uofa</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18">
      <c r="A1" s="32" t="inlineStr">
        <is>
          <t>Profile</t>
        </is>
      </c>
      <c r="B1" s="32" t="inlineStr">
        <is>
          <t>Device Class</t>
        </is>
      </c>
      <c r="C1" s="32" t="inlineStr">
        <is>
          <t>Model Risk Level</t>
        </is>
      </c>
      <c r="D1" s="32" t="inlineStr">
        <is>
          <t>Assurance Level</t>
        </is>
      </c>
      <c r="E1" s="32" t="inlineStr">
        <is>
          <t>Standards Reference</t>
        </is>
      </c>
      <c r="F1" s="32" t="inlineStr">
        <is>
          <t>Entity Type</t>
        </is>
      </c>
      <c r="G1" s="32" t="inlineStr">
        <is>
          <t>Has UQ</t>
        </is>
      </c>
      <c r="H1" s="32" t="inlineStr">
        <is>
          <t>Pass/Fail</t>
        </is>
      </c>
      <c r="I1" s="32" t="inlineStr">
        <is>
          <t>Factor Level (1-5)</t>
        </is>
      </c>
      <c r="J1" s="32" t="inlineStr">
        <is>
          <t>Factor Status</t>
        </is>
      </c>
      <c r="K1" s="32" t="inlineStr">
        <is>
          <t>Decision Outcome</t>
        </is>
      </c>
      <c r="L1" s="17" t="inlineStr">
        <is>
          <t>Has UQ (COU-level)</t>
        </is>
      </c>
    </row>
    <row r="2" ht="15" customHeight="1" s="18">
      <c r="A2" s="17" t="inlineStr">
        <is>
          <t>Minimal</t>
        </is>
      </c>
      <c r="B2" s="17" t="inlineStr">
        <is>
          <t>Class I</t>
        </is>
      </c>
      <c r="C2" s="17" t="inlineStr">
        <is>
          <t>MRL 1</t>
        </is>
      </c>
      <c r="D2" s="17" t="inlineStr">
        <is>
          <t>Low</t>
        </is>
      </c>
      <c r="E2" s="17" t="inlineStr">
        <is>
          <t>ASME-VV40-2018</t>
        </is>
      </c>
      <c r="F2" s="17" t="inlineStr">
        <is>
          <t>Requirement</t>
        </is>
      </c>
      <c r="G2" s="17" t="inlineStr">
        <is>
          <t>Yes</t>
        </is>
      </c>
      <c r="H2" s="17" t="inlineStr">
        <is>
          <t>Pass</t>
        </is>
      </c>
      <c r="I2" s="17" t="n">
        <v>1</v>
      </c>
      <c r="J2" s="17" t="inlineStr">
        <is>
          <t>assessed</t>
        </is>
      </c>
      <c r="K2" s="17" t="inlineStr">
        <is>
          <t>Accepted</t>
        </is>
      </c>
      <c r="L2" s="17" t="inlineStr">
        <is>
          <t>Yes</t>
        </is>
      </c>
    </row>
    <row r="3" ht="15" customHeight="1" s="18">
      <c r="A3" s="17" t="inlineStr">
        <is>
          <t>Complete</t>
        </is>
      </c>
      <c r="B3" s="17" t="inlineStr">
        <is>
          <t>Class II</t>
        </is>
      </c>
      <c r="C3" s="17" t="inlineStr">
        <is>
          <t>MRL 2</t>
        </is>
      </c>
      <c r="D3" s="17" t="inlineStr">
        <is>
          <t>Medium</t>
        </is>
      </c>
      <c r="E3" s="17" t="inlineStr">
        <is>
          <t>NASA-STD-7009B</t>
        </is>
      </c>
      <c r="F3" s="17" t="inlineStr">
        <is>
          <t>Model</t>
        </is>
      </c>
      <c r="G3" s="17" t="inlineStr">
        <is>
          <t>No</t>
        </is>
      </c>
      <c r="H3" s="17" t="inlineStr">
        <is>
          <t>Fail</t>
        </is>
      </c>
      <c r="I3" s="17" t="n">
        <v>2</v>
      </c>
      <c r="J3" s="17" t="inlineStr">
        <is>
          <t>not-assessed</t>
        </is>
      </c>
      <c r="K3" s="17" t="inlineStr">
        <is>
          <t>Not accepted</t>
        </is>
      </c>
      <c r="L3" s="17" t="inlineStr">
        <is>
          <t>No</t>
        </is>
      </c>
    </row>
    <row r="4" ht="15" customHeight="1" s="18">
      <c r="B4" s="17" t="inlineStr">
        <is>
          <t>Class III</t>
        </is>
      </c>
      <c r="C4" s="17" t="inlineStr">
        <is>
          <t>MRL 3</t>
        </is>
      </c>
      <c r="D4" s="17" t="inlineStr">
        <is>
          <t>High</t>
        </is>
      </c>
      <c r="E4" s="17" t="inlineStr">
        <is>
          <t>FDA-2023-CMS</t>
        </is>
      </c>
      <c r="F4" s="17" t="inlineStr">
        <is>
          <t>Dataset</t>
        </is>
      </c>
      <c r="H4" s="17" t="inlineStr">
        <is>
          <t>Inconclusive</t>
        </is>
      </c>
      <c r="I4" s="17" t="n">
        <v>3</v>
      </c>
      <c r="J4" s="17" t="inlineStr">
        <is>
          <t>scoped-out</t>
        </is>
      </c>
      <c r="K4" s="17" t="inlineStr">
        <is>
          <t>Conditional</t>
        </is>
      </c>
    </row>
    <row r="5" ht="15" customHeight="1" s="18">
      <c r="B5" s="17" t="inlineStr">
        <is>
          <t>Category A</t>
        </is>
      </c>
      <c r="C5" s="17" t="inlineStr">
        <is>
          <t>MRL 4</t>
        </is>
      </c>
      <c r="E5" s="17" t="inlineStr">
        <is>
          <t>Custom</t>
        </is>
      </c>
      <c r="H5" s="17" t="inlineStr">
        <is>
          <t>N/A</t>
        </is>
      </c>
      <c r="I5" s="17" t="n">
        <v>4</v>
      </c>
      <c r="J5" s="17" t="inlineStr">
        <is>
          <t>not-applicable</t>
        </is>
      </c>
    </row>
    <row r="6" ht="15" customHeight="1" s="18">
      <c r="B6" s="17" t="inlineStr">
        <is>
          <t>Category B</t>
        </is>
      </c>
      <c r="C6" s="17" t="inlineStr">
        <is>
          <t>MRL 5</t>
        </is>
      </c>
      <c r="I6" s="17" t="n">
        <v>5</v>
      </c>
    </row>
    <row r="7" ht="15" customHeight="1" s="18">
      <c r="B7" s="17" t="inlineStr">
        <is>
          <t>Category C</t>
        </is>
      </c>
    </row>
    <row r="8" ht="15" customHeight="1" s="18">
      <c r="B8" s="17" t="inlineStr">
        <is>
          <t>Category D</t>
        </is>
      </c>
    </row>
    <row r="9" ht="15" customHeight="1" s="18">
      <c r="B9" s="17" t="inlineStr">
        <is>
          <t>Category E</t>
        </is>
      </c>
    </row>
    <row r="10" ht="15" customHeight="1" s="18">
      <c r="B10" s="17" t="inlineStr">
        <is>
          <t>Other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35" customWidth="1" style="17" min="2" max="2"/>
    <col width="40" customWidth="1" style="17" min="3" max="3"/>
    <col width="45" customWidth="1" style="17" min="4" max="4"/>
    <col width="12" customWidth="1" style="17" min="5" max="5"/>
    <col width="20" customWidth="1" style="17" min="6" max="6"/>
  </cols>
  <sheetData>
    <row r="1" ht="30" customHeight="1" s="18">
      <c r="A1" s="19" t="inlineStr">
        <is>
          <t>Model &amp; Data — What you modeled and compared against</t>
        </is>
      </c>
    </row>
    <row r="2" ht="15" customHeight="1" s="18">
      <c r="A2" s="20" t="inlineStr">
        <is>
          <t>Entity Type</t>
        </is>
      </c>
      <c r="B2" s="20" t="inlineStr">
        <is>
          <t>Name</t>
        </is>
      </c>
      <c r="C2" s="20" t="inlineStr">
        <is>
          <t>Identifier / URI</t>
        </is>
      </c>
      <c r="D2" s="20" t="inlineStr">
        <is>
          <t>Description</t>
        </is>
      </c>
      <c r="E2" s="20" t="inlineStr">
        <is>
          <t>Version</t>
        </is>
      </c>
      <c r="F2" s="20" t="inlineStr">
        <is>
          <t>Source</t>
        </is>
      </c>
    </row>
    <row r="3" ht="32.8" customHeight="1" s="18">
      <c r="A3" s="39" t="inlineStr">
        <is>
          <t>Requirement</t>
        </is>
      </c>
      <c r="B3" s="39" t="inlineStr">
        <is>
          <t>VRM2 base temperature ≤ 85°C at 25°C ambient</t>
        </is>
      </c>
      <c r="C3" s="22" t="inlineStr">
        <is>
          <t>Stable URI or local ID</t>
        </is>
      </c>
      <c r="D3" s="39" t="inlineStr">
        <is>
          <t>Top-level thermal performance requirement: the hottest device base (VRM2) must remain at or below 85°C under nominal operating conditions (450 W load, 25°C ambient, fans at 100% duty) to pass the M3 gate decision.</t>
        </is>
      </c>
      <c r="E3" s="22" t="inlineStr">
        <is>
          <t>Version number (optional)</t>
        </is>
      </c>
      <c r="F3" s="22" t="inlineStr">
        <is>
          <t>Where this came from (optional)</t>
        </is>
      </c>
    </row>
    <row r="4" ht="15" customHeight="1" s="18">
      <c r="A4" s="41" t="inlineStr">
        <is>
          <t>Model</t>
        </is>
      </c>
      <c r="B4" s="41" t="inlineStr">
        <is>
          <t>Simcenter STAR-CCM+ 2021.3 Conjugate Thermal-Fluid Model — Ares-B3</t>
        </is>
      </c>
      <c r="C4" s="24" t="n"/>
      <c r="D4" s="41" t="inlineStr">
        <is>
          <t>Steady-state conjugate heat transfer and turbulent airflow model (k-ω SST RANS, S2S radiation, polyhedral mesh, 10.2 M cells baseline) of the Ares-B3 3U compute module built in Simcenter STAR-CCM+ 2021.3 from NX CAD assembly Ares-B3 rev P2.3.</t>
        </is>
      </c>
      <c r="E4" s="33" t="n"/>
      <c r="F4" s="33" t="n"/>
    </row>
    <row r="5" ht="15" customHeight="1" s="18">
      <c r="A5" s="41" t="inlineStr">
        <is>
          <t>Dataset</t>
        </is>
      </c>
      <c r="B5" s="41" t="inlineStr">
        <is>
          <t>Bench Measurement Dataset — Ares-B3 Surrogate Unit</t>
        </is>
      </c>
      <c r="C5" s="24" t="n"/>
      <c r="D5" s="41" t="inlineStr">
        <is>
          <t>Controlled lab measurements on a surrogate Ares-B3 unit: 12 Type-T thermocouple readings at device bases and heat sink roots, FLIR A655sc IR surface mapping, orifice-plate mass flow (ISO 5167, ±1.2%), and module pressure drop at 25°C ambient and 12 V fan supply. Data averaged over final 10 minutes of 45-minute stabilization runs.</t>
        </is>
      </c>
      <c r="E5" s="33" t="n"/>
      <c r="F5" s="33" t="n"/>
    </row>
    <row r="6" ht="15" customHeight="1" s="18">
      <c r="A6" s="41" t="inlineStr">
        <is>
          <t>Dataset</t>
        </is>
      </c>
      <c r="B6" s="41" t="inlineStr">
        <is>
          <t>Material and Component Specification Data</t>
        </is>
      </c>
      <c r="C6" s="24" t="n"/>
      <c r="D6" s="41" t="inlineStr">
        <is>
          <t>Aluminum 6061-T6 and orthotropic PCB thermal properties, gap-pad conductivity (k = 3.5 W/m·K), painted panel emissivity from supplier test report SR-19-044 (ε = 0.85), and vendor Sunon EF80251S2-999 P–Q fan curve corrected by bench orifice test.</t>
        </is>
      </c>
      <c r="E6" s="33" t="n"/>
      <c r="F6" s="33" t="n"/>
    </row>
    <row r="7" ht="15" customHeight="1" s="18">
      <c r="A7" s="24" t="n"/>
      <c r="B7" s="24" t="n"/>
      <c r="C7" s="24" t="n"/>
      <c r="D7" s="33" t="n"/>
      <c r="E7" s="33" t="n"/>
      <c r="F7" s="33" t="n"/>
    </row>
    <row r="8" ht="15" customHeight="1" s="18">
      <c r="A8" s="24" t="n"/>
      <c r="B8" s="24" t="n"/>
      <c r="C8" s="24" t="n"/>
      <c r="D8" s="33" t="n"/>
      <c r="E8" s="33" t="n"/>
      <c r="F8" s="33" t="n"/>
    </row>
    <row r="9" ht="15" customHeight="1" s="18">
      <c r="A9" s="24" t="n"/>
      <c r="B9" s="24" t="n"/>
      <c r="C9" s="24" t="n"/>
      <c r="D9" s="33" t="n"/>
      <c r="E9" s="33" t="n"/>
      <c r="F9" s="33" t="n"/>
    </row>
    <row r="10" ht="15" customHeight="1" s="18">
      <c r="A10" s="24" t="n"/>
      <c r="B10" s="24" t="n"/>
      <c r="C10" s="24" t="n"/>
      <c r="D10" s="33" t="n"/>
      <c r="E10" s="33" t="n"/>
      <c r="F10" s="33" t="n"/>
    </row>
    <row r="11" ht="15" customHeight="1" s="18">
      <c r="A11" s="24" t="n"/>
      <c r="B11" s="24" t="n"/>
      <c r="C11" s="24" t="n"/>
      <c r="D11" s="33" t="n"/>
      <c r="E11" s="33" t="n"/>
      <c r="F11" s="33" t="n"/>
    </row>
    <row r="12" ht="15" customHeight="1" s="18">
      <c r="A12" s="24" t="n"/>
      <c r="B12" s="24" t="n"/>
      <c r="C12" s="24" t="n"/>
      <c r="D12" s="33" t="n"/>
      <c r="E12" s="33" t="n"/>
      <c r="F12" s="33" t="n"/>
    </row>
    <row r="13" ht="15" customHeight="1" s="18">
      <c r="A13" s="24" t="n"/>
      <c r="B13" s="24" t="n"/>
      <c r="C13" s="24" t="n"/>
      <c r="D13" s="33" t="n"/>
      <c r="E13" s="33" t="n"/>
      <c r="F13" s="33" t="n"/>
    </row>
  </sheetData>
  <mergeCells count="1">
    <mergeCell ref="A1:F1"/>
  </mergeCells>
  <dataValidations count="1">
    <dataValidation sqref="A4:A13" showDropDown="0" showInputMessage="0" showErrorMessage="0" allowBlank="1" type="list" errorStyle="stop" operator="between">
      <formula1>list_entity_type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1"/>
  </sheetPr>
  <dimension ref="A1:I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5" customWidth="1" style="17" min="1" max="1"/>
    <col width="35" customWidth="1" style="17" min="2" max="2"/>
    <col width="45" customWidth="1" style="17" min="3" max="3"/>
    <col width="35" customWidth="1" style="17" min="4" max="4"/>
    <col width="10" customWidth="1" style="17" min="5" max="5"/>
    <col width="30" customWidth="1" style="17" min="6" max="6"/>
    <col width="18" customWidth="1" style="17" min="7" max="7"/>
    <col width="14" customWidth="1" style="17" min="8" max="8"/>
  </cols>
  <sheetData>
    <row r="1" ht="30" customHeight="1" s="18">
      <c r="A1" s="19" t="inlineStr">
        <is>
          <t>Validation Results — What you found when you tested the model</t>
        </is>
      </c>
    </row>
    <row r="2" ht="15" customHeight="1" s="18">
      <c r="A2" s="20" t="inlineStr">
        <is>
          <t>Result Name</t>
        </is>
      </c>
      <c r="B2" s="20" t="inlineStr">
        <is>
          <t>Identifier / URI</t>
        </is>
      </c>
      <c r="C2" s="20" t="inlineStr">
        <is>
          <t>Description</t>
        </is>
      </c>
      <c r="D2" s="20" t="inlineStr">
        <is>
          <t>Compares To</t>
        </is>
      </c>
      <c r="E2" s="20" t="inlineStr">
        <is>
          <t>Has UQ?</t>
        </is>
      </c>
      <c r="F2" s="20" t="inlineStr">
        <is>
          <t>UQ Method</t>
        </is>
      </c>
      <c r="G2" s="20" t="inlineStr">
        <is>
          <t>Metric Value</t>
        </is>
      </c>
      <c r="H2" s="20" t="inlineStr">
        <is>
          <t>Pass / Fail</t>
        </is>
      </c>
    </row>
    <row r="3" ht="32.8" customHeight="1" s="18">
      <c r="A3" s="39" t="inlineStr">
        <is>
          <t>Mesh Convergence Study (Three-Level Richardson Extrapolation)</t>
        </is>
      </c>
      <c r="B3" s="39" t="inlineStr">
        <is>
          <t>ValidationResult</t>
        </is>
      </c>
      <c r="C3" s="22" t="inlineStr">
        <is>
          <t>What was done, what was found</t>
        </is>
      </c>
      <c r="D3" s="39" t="inlineStr">
        <is>
          <t>Three systematically refined meshes (6.1 M, 10.2 M, 15.7 M cells; linear scale factor ~1.3) run at identical physics and boundary conditions. Key outputs compared: VRM2 base temperature, module pressure drop, and total mass flow.</t>
        </is>
      </c>
      <c r="E3" s="39" t="inlineStr">
        <is>
          <t>Richardson extrapolation asymptotic estimate (80.5°C for VRM2 base temperature, nominal order p ≈ 1.9)</t>
        </is>
      </c>
      <c r="F3" s="39" t="inlineStr">
        <is>
          <t>Yes</t>
        </is>
      </c>
      <c r="G3" s="39" t="inlineStr">
        <is>
          <t>Three-level Richardson extrapolation with empirically fitted observed order</t>
        </is>
      </c>
      <c r="H3" s="39" t="inlineStr">
        <is>
          <t>Medium-grid VRM2 temperature within 0.6% of asymptote (81.1°C vs. 80.5°C); medium-to-fine pressure drop difference 1.5 Pa; mass flow difference 0.001 kg/s</t>
        </is>
      </c>
      <c r="I3" s="42" t="inlineStr">
        <is>
          <t>Pass</t>
        </is>
      </c>
    </row>
    <row r="4" ht="15" customHeight="1" s="18">
      <c r="A4" s="41" t="inlineStr">
        <is>
          <t>Thermocouple and Orifice-Plate Cross-Check (Model vs. Bench)</t>
        </is>
      </c>
      <c r="B4" s="41" t="inlineStr">
        <is>
          <t>ValidationResult</t>
        </is>
      </c>
      <c r="C4" s="33" t="n"/>
      <c r="D4" s="41" t="inlineStr">
        <is>
          <t>Medium-grid steady-state simulation predictions compared against bench measurements on surrogate Ares-B3 unit at matched conditions (450 W, 25°C ambient, 12 V fans). Comparison covers mass flow, module pressure drop, eight device-base temperatures, and IR surface temperature mapping.</t>
        </is>
      </c>
      <c r="E4" s="41" t="inlineStr">
        <is>
          <t>Twelve Type-T thermocouple readings, ISO 5167 orifice-plate mass flow, differential pressure measurement (Dwyer 605, calibrated April 2026), and FLIR A655sc IR camera data</t>
        </is>
      </c>
      <c r="F4" s="41" t="inlineStr">
        <is>
          <t>Yes</t>
        </is>
      </c>
      <c r="G4" s="41" t="inlineStr">
        <is>
          <t>Ambient temperature uncertainty ±0.4°C; orifice flow uncertainty ±1.2% of reading; thermocouple standard; time-averaging over final 10 minutes of stabilization</t>
        </is>
      </c>
      <c r="H4" s="41" t="inlineStr">
        <is>
          <t>VRM2 hotspot −1.2 K (81.1°C predicted vs. 82.3°C measured); mean absolute temperature error 1.7 K across 12 sites; std dev of errors 1.1 K; max deviation 3.8 K (VRM1 trailing edge); flow +3.7%; pressure drop −4.6% (62 vs. 65 Pa)</t>
        </is>
      </c>
      <c r="I4" s="42" t="inlineStr">
        <is>
          <t>Pass</t>
        </is>
      </c>
    </row>
    <row r="5" ht="15" customHeight="1" s="18">
      <c r="A5" s="41" t="inlineStr">
        <is>
          <t>Global Energy Balance Check</t>
        </is>
      </c>
      <c r="B5" s="41" t="inlineStr">
        <is>
          <t>ValidationResult</t>
        </is>
      </c>
      <c r="C5" s="33" t="n"/>
      <c r="D5" s="41" t="inlineStr">
        <is>
          <t>First-law energy balance closed on the medium-grid solution: electrical input reconciled against convective outlet enthalpy rise, S2S radiative transfer to enclosure walls, conductive loss to rack rails, and numerical residual.</t>
        </is>
      </c>
      <c r="E5" s="41" t="inlineStr">
        <is>
          <t>Conservation of energy (450 W electrical input)</t>
        </is>
      </c>
      <c r="F5" s="41" t="inlineStr">
        <is>
          <t>No</t>
        </is>
      </c>
      <c r="G5" s="33" t="n"/>
      <c r="H5" s="41" t="inlineStr">
        <is>
          <t>Residual 3 W, within 0.7% of total electrical input (450 W)</t>
        </is>
      </c>
      <c r="I5" s="42" t="inlineStr">
        <is>
          <t>Pass</t>
        </is>
      </c>
    </row>
    <row r="6" ht="15" customHeight="1" s="18">
      <c r="A6" s="41" t="inlineStr">
        <is>
          <t>Radiation Sensitivity Study</t>
        </is>
      </c>
      <c r="B6" s="41" t="inlineStr">
        <is>
          <t>ValidationResult</t>
        </is>
      </c>
      <c r="C6" s="33" t="n"/>
      <c r="D6" s="41" t="inlineStr">
        <is>
          <t>Parametric runs on the medium grid with radiation off, radiation on at ε_paint = 0.85, and radiation on at ε_paint = 0.75. Assessed impact of radiation on VRM2 base temperature and heat path distribution.</t>
        </is>
      </c>
      <c r="E6" s="41" t="inlineStr">
        <is>
          <t>Baseline medium-grid result with radiation on (81.1°C VRM2)</t>
        </is>
      </c>
      <c r="F6" s="41" t="inlineStr">
        <is>
          <t>No</t>
        </is>
      </c>
      <c r="G6" s="33" t="n"/>
      <c r="H6" s="41" t="inlineStr">
        <is>
          <t>Neglecting radiation increases VRM2 base temperature by 1.1–1.5 K; reducing ε_paint from 0.85 to 0.75 shifts VRM2 by +0.4 K; radiation accounts for ~5–6% (22–27 W) of total heat removal</t>
        </is>
      </c>
      <c r="I6" s="42" t="inlineStr">
        <is>
          <t>Pass</t>
        </is>
      </c>
    </row>
    <row r="7" ht="15" customHeight="1" s="18">
      <c r="A7" s="41" t="inlineStr">
        <is>
          <t>Transient Stabilization Check</t>
        </is>
      </c>
      <c r="B7" s="41" t="inlineStr">
        <is>
          <t>ValidationResult</t>
        </is>
      </c>
      <c r="C7" s="33" t="n"/>
      <c r="D7" s="41" t="inlineStr">
        <is>
          <t>Transient run initiated from converged steady-state solution (Δt = 0.005 s, 10 s physical time) to verify absence of periodic instabilities or limit-cycle behavior near fans and recirculation zones that would undermine steady-state predictions.</t>
        </is>
      </c>
      <c r="E7" s="41" t="inlineStr">
        <is>
          <t>Converged steady-state monitor values for VRM1 and VRM2 base temperatures</t>
        </is>
      </c>
      <c r="F7" s="41" t="inlineStr">
        <is>
          <t>No</t>
        </is>
      </c>
      <c r="G7" s="33" t="n"/>
      <c r="H7" s="41" t="inlineStr">
        <is>
          <t>Monitor point drift &lt; 0.3 K; no limit-cycle behavior observed in near-fan recirculation zones</t>
        </is>
      </c>
      <c r="I7" s="42" t="inlineStr">
        <is>
          <t>Pass</t>
        </is>
      </c>
    </row>
    <row r="8" ht="15" customHeight="1" s="18">
      <c r="A8" s="24" t="n"/>
      <c r="B8" s="24" t="n"/>
      <c r="C8" s="33" t="n"/>
      <c r="D8" s="33" t="n"/>
      <c r="E8" s="25" t="n"/>
      <c r="F8" s="33" t="n"/>
      <c r="G8" s="33" t="n"/>
      <c r="H8" s="33" t="n"/>
    </row>
    <row r="9" ht="15" customHeight="1" s="18">
      <c r="A9" s="24" t="n"/>
      <c r="B9" s="24" t="n"/>
      <c r="C9" s="33" t="n"/>
      <c r="D9" s="33" t="n"/>
      <c r="E9" s="25" t="n"/>
      <c r="F9" s="33" t="n"/>
      <c r="G9" s="33" t="n"/>
      <c r="H9" s="33" t="n"/>
    </row>
    <row r="10" ht="15" customHeight="1" s="18">
      <c r="A10" s="24" t="n"/>
      <c r="B10" s="24" t="n"/>
      <c r="C10" s="33" t="n"/>
      <c r="D10" s="33" t="n"/>
      <c r="E10" s="25" t="n"/>
      <c r="F10" s="33" t="n"/>
      <c r="G10" s="33" t="n"/>
      <c r="H10" s="33" t="n"/>
    </row>
    <row r="11" ht="15" customHeight="1" s="18">
      <c r="A11" s="24" t="n"/>
      <c r="B11" s="24" t="n"/>
      <c r="C11" s="33" t="n"/>
      <c r="D11" s="33" t="n"/>
      <c r="E11" s="25" t="n"/>
      <c r="F11" s="33" t="n"/>
      <c r="G11" s="33" t="n"/>
      <c r="H11" s="33" t="n"/>
    </row>
    <row r="12" ht="15" customHeight="1" s="18">
      <c r="A12" s="24" t="n"/>
      <c r="B12" s="24" t="n"/>
      <c r="C12" s="33" t="n"/>
      <c r="D12" s="33" t="n"/>
      <c r="E12" s="25" t="n"/>
      <c r="F12" s="33" t="n"/>
      <c r="G12" s="33" t="n"/>
      <c r="H12" s="33" t="n"/>
    </row>
    <row r="13" ht="15" customHeight="1" s="18">
      <c r="A13" s="24" t="n"/>
      <c r="B13" s="24" t="n"/>
      <c r="C13" s="33" t="n"/>
      <c r="D13" s="33" t="n"/>
      <c r="E13" s="25" t="n"/>
      <c r="F13" s="33" t="n"/>
      <c r="G13" s="33" t="n"/>
      <c r="H13" s="33" t="n"/>
    </row>
  </sheetData>
  <mergeCells count="1">
    <mergeCell ref="A1:H1"/>
  </mergeCells>
  <dataValidations count="2">
    <dataValidation sqref="E4:E13" showDropDown="0" showInputMessage="0" showErrorMessage="0" allowBlank="1" type="list" errorStyle="stop" operator="between">
      <formula1>list_has_uq</formula1>
      <formula2>0</formula2>
    </dataValidation>
    <dataValidation sqref="H4:H13" showDropDown="0" showInputMessage="0" showErrorMessage="0" allowBlank="1" type="list" errorStyle="stop" operator="between">
      <formula1>list_pass_fail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1"/>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17" min="1" max="1"/>
    <col width="25" customWidth="1" style="17" min="2" max="2"/>
    <col width="16" customWidth="1" style="17" min="3" max="4"/>
    <col width="40" customWidth="1" style="17" min="5" max="5"/>
    <col width="12" customWidth="1" style="17" min="6" max="6"/>
    <col width="22" customWidth="1" style="18" min="8" max="8"/>
  </cols>
  <sheetData>
    <row r="1" ht="30" customHeight="1" s="18">
      <c r="A1" s="19" t="inlineStr">
        <is>
          <t>Credibility Factors — V&amp;V 40 Table 5-1 Assessment</t>
        </is>
      </c>
    </row>
    <row r="2" ht="30" customHeight="1" s="18">
      <c r="A2" s="34" t="inlineStr">
        <is>
          <t>Complete profile only. Assess each relevant factor: set Required Level (goal given model risk) and Achieved Level (what evidence supports).</t>
        </is>
      </c>
    </row>
    <row r="3" ht="15" customHeight="1" s="18">
      <c r="A3" s="20" t="inlineStr">
        <is>
          <t>Factor Type</t>
        </is>
      </c>
      <c r="B3" s="20" t="inlineStr">
        <is>
          <t>Category</t>
        </is>
      </c>
      <c r="C3" s="20" t="inlineStr">
        <is>
          <t>Required Level</t>
        </is>
      </c>
      <c r="D3" s="20" t="inlineStr">
        <is>
          <t>Achieved Level</t>
        </is>
      </c>
      <c r="E3" s="21" t="inlineStr">
        <is>
          <t>Acceptance Criteria</t>
        </is>
      </c>
      <c r="F3" s="20" t="inlineStr">
        <is>
          <t>Rationale</t>
        </is>
      </c>
      <c r="G3" s="20" t="inlineStr">
        <is>
          <t>Factor Status</t>
        </is>
      </c>
      <c r="H3" s="37" t="inlineStr">
        <is>
          <t>Linked Evidence</t>
        </is>
      </c>
    </row>
    <row r="4" ht="22.35" customHeight="1" s="18">
      <c r="A4" s="22" t="inlineStr">
        <is>
          <t>V&amp;V 40 factor (pre-filled, do not edit)</t>
        </is>
      </c>
      <c r="B4" s="22" t="inlineStr">
        <is>
          <t>Grouping (pre-filled)</t>
        </is>
      </c>
      <c r="C4" s="22" t="inlineStr">
        <is>
          <t>Credibility goal for this factor (1-5)</t>
        </is>
      </c>
      <c r="D4" s="22" t="inlineStr">
        <is>
          <t>Level achieved by evidence (1-5)</t>
        </is>
      </c>
      <c r="E4" s="23" t="inlineStr">
        <is>
          <t>Goal and basis for the required level (from V&amp;V 40 Tables 3-4)</t>
        </is>
      </c>
      <c r="F4" s="22" t="inlineStr">
        <is>
          <t>Brief justification (esp. if achieved &lt; required)</t>
        </is>
      </c>
      <c r="G4" s="22" t="inlineStr">
        <is>
          <t>assessed / not-assessed / scoped-out / not-applicable</t>
        </is>
      </c>
      <c r="H4" s="38" t="inlineStr">
        <is>
          <t>URI of validation result that supports this factor (optional)</t>
        </is>
      </c>
    </row>
    <row r="5" ht="15" customHeight="1" s="18">
      <c r="A5" s="35" t="inlineStr">
        <is>
          <t>Software quality assurance</t>
        </is>
      </c>
      <c r="B5" s="36" t="inlineStr">
        <is>
          <t>Verification — Code</t>
        </is>
      </c>
      <c r="C5" s="41" t="n">
        <v>3</v>
      </c>
      <c r="D5" s="41" t="n">
        <v>3</v>
      </c>
      <c r="E5" s="42" t="inlineStr">
        <is>
          <t>Commercial solver with documented version and reproducibility information sufficient for engineering gate decision</t>
        </is>
      </c>
      <c r="F5" s="41" t="inlineStr">
        <is>
          <t>Simcenter STAR-CCM+ 2021.3 is a widely used commercial solver (report.md §16). Version, license server (EL-407), compute hardware (Neptune cluster, dual Xeon Gold 6248R, 192 GB RAM), and CAD revision (Ares-B3 rev P2.3) are all documented, supporting reproducibility. No explicit regression test suite or ISO quality certificate is cited, but commercial tool provenance is established at an adequate level for MRL 3.</t>
        </is>
      </c>
      <c r="G5" s="41" t="inlineStr">
        <is>
          <t>assessed</t>
        </is>
      </c>
    </row>
    <row r="6" ht="15" customHeight="1" s="18">
      <c r="A6" s="36" t="inlineStr">
        <is>
          <t>Numerical code verification</t>
        </is>
      </c>
      <c r="B6" s="36" t="inlineStr">
        <is>
          <t>Verification — Code</t>
        </is>
      </c>
      <c r="C6" s="41" t="n">
        <v>2</v>
      </c>
      <c r="D6" s="41" t="n">
        <v>2</v>
      </c>
      <c r="E6" s="42" t="inlineStr">
        <is>
          <t>Evidence that the solver correctly implements governing equations, at minimum through published benchmark or code documentation</t>
        </is>
      </c>
      <c r="F6" s="41" t="inlineStr">
        <is>
          <t>No independent benchmark study or method of manufactured solutions (MMS) is cited in the evidence corpus. Reliance is placed entirely on the commercial pedigree of STAR-CCM+ 2021.3. Energy and momentum balance closures (§9, §A6) provide indirect evidence of correct implementation, but do not constitute formal numerical code verification. Level 2 reflects commercial tool usage without explicit solver verification activities documented for this project.</t>
        </is>
      </c>
      <c r="G6" s="41" t="inlineStr">
        <is>
          <t>assessed</t>
        </is>
      </c>
    </row>
    <row r="7" ht="15" customHeight="1" s="18">
      <c r="A7" s="35" t="inlineStr">
        <is>
          <t>Discretization error</t>
        </is>
      </c>
      <c r="B7" s="36" t="inlineStr">
        <is>
          <t>Verification — Calculation</t>
        </is>
      </c>
      <c r="C7" s="41" t="n">
        <v>3</v>
      </c>
      <c r="D7" s="41" t="n">
        <v>4</v>
      </c>
      <c r="E7" s="42" t="inlineStr">
        <is>
          <t>Mesh convergence demonstrated with quantified grid error estimate; medium grid suitable for production runs</t>
        </is>
      </c>
      <c r="F7" s="41" t="inlineStr">
        <is>
          <t>Three systematically refined meshes (6.1 M, 10.2 M, 15.7 M cells; scale factor ~1.3) were run at identical conditions (report.md §7, appendix.md §A1). Three-level Richardson extrapolation with empirically fitted observed order p ≈ 1.9 gives asymptotic VRM2 base temperature of 80.5°C; medium-grid result deviates by ~0.6%. Pressure drop and mass flow differences between medium and fine grids are within 1.5 Pa and 0.001 kg/s. Prism layer count, first-cell height, and near-wall y+ ≲ 1 are all documented. Quantified uncertainty from grid is small relative to margin to requirement.</t>
        </is>
      </c>
      <c r="G7" s="41" t="inlineStr">
        <is>
          <t>assessed</t>
        </is>
      </c>
    </row>
    <row r="8" ht="15" customHeight="1" s="18">
      <c r="A8" s="36" t="inlineStr">
        <is>
          <t>Numerical solver error</t>
        </is>
      </c>
      <c r="B8" s="36" t="inlineStr">
        <is>
          <t>Verification — Calculation</t>
        </is>
      </c>
      <c r="C8" s="41" t="n">
        <v>3</v>
      </c>
      <c r="D8" s="41" t="n">
        <v>4</v>
      </c>
      <c r="E8" s="42" t="inlineStr">
        <is>
          <t>Residuals and solution monitors demonstrate convergence to stable, well-defined values</t>
        </is>
      </c>
      <c r="F8" s="41" t="inlineStr">
        <is>
          <t>Momentum and continuity residuals driven below 1×10⁻⁴; energy residual below 1×10⁻⁵ (report.md §6, appendix.md §A4). Device-base temperature monitors show change &lt; 0.02 K over final 1000 iterations; outlet enthalpy converged within 0.1 W over final 500 iterations. L2 energy residual fell below 1×10⁻⁵ by iteration 2400 on medium grid; momentum residuals settled at ~6×10⁻⁵ and continued to decrease. Transient stabilization check (§7) confirmed no hidden unsteadiness. Convergence evidence is well-documented with multiple independent monitors.</t>
        </is>
      </c>
      <c r="G8" s="41" t="inlineStr">
        <is>
          <t>assessed</t>
        </is>
      </c>
    </row>
    <row r="9" ht="15" customHeight="1" s="18">
      <c r="A9" s="36" t="inlineStr">
        <is>
          <t>Use error</t>
        </is>
      </c>
      <c r="B9" s="36" t="inlineStr">
        <is>
          <t>Verification — Calculation</t>
        </is>
      </c>
      <c r="C9" s="41" t="n">
        <v>3</v>
      </c>
      <c r="D9" s="41" t="n">
        <v>3</v>
      </c>
      <c r="E9" s="42" t="inlineStr">
        <is>
          <t>Evidence that model was set up correctly, boundary conditions are appropriate, and post-processing matches experimental instrumentation</t>
        </is>
      </c>
      <c r="F9" s="41" t="inlineStr">
        <is>
          <t>Boundary conditions are clearly documented (§5): power loads from DC supply readback and DAQ instrumentation, fan P–Q curve from vendor data corrected by bench test, outlet static pressure reference, and ambient conditions matched to test. CAD simplifications are explicitly itemized (§3, §B1, §B2). Post-processing temperature monitor patches (4 mm diameter) were sized to match thermocouple bead footprint (§16). Energy balance closure within 0.7% (§9) provides a check against gross setup errors. No independent peer review or formal setup checklist is cited, which limits this to level 3.</t>
        </is>
      </c>
      <c r="G9" s="41" t="inlineStr">
        <is>
          <t>assessed</t>
        </is>
      </c>
    </row>
    <row r="10" ht="15" customHeight="1" s="18">
      <c r="A10" s="35" t="inlineStr">
        <is>
          <t>Model form</t>
        </is>
      </c>
      <c r="B10" s="36" t="inlineStr">
        <is>
          <t>Validation — Model</t>
        </is>
      </c>
      <c r="C10" s="41" t="n">
        <v>3</v>
      </c>
      <c r="D10" s="41" t="n">
        <v>3</v>
      </c>
      <c r="E10" s="42" t="inlineStr">
        <is>
          <t>Governing equations and turbulence/radiation model selections are justified for the physics regime; known limitations are documented</t>
        </is>
      </c>
      <c r="F10" s="41" t="inlineStr">
        <is>
          <t>k-ω SST RANS with near-wall resolution to y+ ≲ 1 is justified as appropriate for separated internal flows over densely spaced fins (§13). Full density variation used for buoyancy rather than Boussinesq approximation. S2S radiation (diffuse-gray, band-averaged emissivities) retained because radiation contributes ~5–6% of total heat removal. Steady RANS approach validated by transient check (§7). Known limitations are explicitly listed (§14): no fan swirl/rotating-frame effects, simplified cable bundles, uniform surface finishes, no gap conduction, no through-pin spreading, no altitude or dust loading. Constitutive model for orthotropic PCB and contact resistance assumptions are documented. Adequate for MRL 3.</t>
        </is>
      </c>
      <c r="G10" s="41" t="inlineStr">
        <is>
          <t>assessed</t>
        </is>
      </c>
    </row>
    <row r="11" ht="15" customHeight="1" s="18">
      <c r="A11" s="36" t="inlineStr">
        <is>
          <t>Model inputs</t>
        </is>
      </c>
      <c r="B11" s="36" t="inlineStr">
        <is>
          <t>Validation — Model</t>
        </is>
      </c>
      <c r="C11" s="41" t="n">
        <v>3</v>
      </c>
      <c r="D11" s="41" t="n">
        <v>3</v>
      </c>
      <c r="E11" s="42" t="inlineStr">
        <is>
          <t>Key material properties, boundary conditions, and geometric inputs are sourced from measurements or qualified supplier data with traceability</t>
        </is>
      </c>
      <c r="F11" s="41" t="inlineStr">
        <is>
          <t>Aluminum 6061-T6 and PCB thermal properties are standard material values (§4). Gap-pad conductivity and thickness are from build spec. Painted panel emissivity sourced from supplier test report SR-19-044 (§4). Fan P–Q curves are vendor data corrected by bench orifice test (appendix.md §A3); correction factor is 3–4% reduction in pressure rise. Power loads from calibrated DAQ (Keysight 34970A) with ±5 W stated uncertainty (§5). Ambient temperature 25°C ±0.4°C from room control (§10). Contact resistance at chassis joints was not modeled (§12). Compression effects on gap-pad conductivity not modeled. Input uncertainties are partially quantified; some inputs rely on engineering defaults.</t>
        </is>
      </c>
      <c r="G11" s="41" t="inlineStr">
        <is>
          <t>assessed</t>
        </is>
      </c>
    </row>
    <row r="12" ht="15" customHeight="1" s="18">
      <c r="A12" s="35" t="inlineStr">
        <is>
          <t>Test samples</t>
        </is>
      </c>
      <c r="B12" s="36" t="inlineStr">
        <is>
          <t>Validation — Comparator</t>
        </is>
      </c>
      <c r="C12" s="41" t="n">
        <v>2</v>
      </c>
      <c r="D12" s="41" t="n">
        <v>2</v>
      </c>
      <c r="E12" s="42" t="inlineStr">
        <is>
          <t>Test article is representative of the production design; sample provenance documented</t>
        </is>
      </c>
      <c r="F12" s="41" t="inlineStr">
        <is>
          <t>A single surrogate unit was tested (§10): same PCB, heat sinks, and housing; fans from lot 7C identified. No statistical characterization of multiple units, no sample-size justification, and no statement of production representativeness beyond component identity. The surrogate is described as using identical components but variation across units is not addressed. Single-specimen testing is adequate for an engineering gate decision at MRL 3 but represents basic evidence.</t>
        </is>
      </c>
      <c r="G12" s="41" t="inlineStr">
        <is>
          <t>assessed</t>
        </is>
      </c>
    </row>
    <row r="13" ht="15" customHeight="1" s="18">
      <c r="A13" s="36" t="inlineStr">
        <is>
          <t>Test conditions</t>
        </is>
      </c>
      <c r="B13" s="36" t="inlineStr">
        <is>
          <t>Validation — Comparator</t>
        </is>
      </c>
      <c r="C13" s="41" t="n">
        <v>3</v>
      </c>
      <c r="D13" s="41" t="n">
        <v>3</v>
      </c>
      <c r="E13" s="42" t="inlineStr">
        <is>
          <t>Test conditions are controlled and measured with calibrated instruments; measurement uncertainties are documented</t>
        </is>
      </c>
      <c r="F13" s="41" t="inlineStr">
        <is>
          <t>Ambient maintained at 25.0 ±0.4°C by room control and mixing chamber with honeycomb straightener; inlet swirl &lt; 5° confirmed by five-hole probe (appendix.md §C1). Orifice plate per ISO 5167, beta ratio 0.5, calibration certificate ±1.2% of reading (appendix.md §C3). Type-T thermocouples (Omega, 36 AWG, grounded junction); IR camera FLIR A655sc with matte tape at defined emissivity 0.95 (appendix.md §A5). DAQ at 1 Hz; stabilization 32–37 minutes; reported values averaged over final 10 minutes (appendix.md §C2). Measurement uncertainties are stated for flow and ambient; individual thermocouple accuracy is not quantified beyond instrument specification. Good test discipline demonstrated.</t>
        </is>
      </c>
      <c r="G13" s="41" t="inlineStr">
        <is>
          <t>assessed</t>
        </is>
      </c>
    </row>
    <row r="14" ht="15" customHeight="1" s="18">
      <c r="A14" s="35" t="inlineStr">
        <is>
          <t>Equivalency of input parameters</t>
        </is>
      </c>
      <c r="B14" s="36" t="inlineStr">
        <is>
          <t>Validation — Assessment</t>
        </is>
      </c>
      <c r="C14" s="41" t="n">
        <v>3</v>
      </c>
      <c r="D14" s="41" t="n">
        <v>3</v>
      </c>
      <c r="E14" s="42" t="inlineStr">
        <is>
          <t>Model inputs are matched to test conditions; differences are identified and their impact is assessed</t>
        </is>
      </c>
      <c r="F14" s="41" t="inlineStr">
        <is>
          <t>Operating conditions in simulation are matched to bench: 450 W total load, 25°C ambient, 12 V fan supply at 100% duty (§10, §11). Fan P–Q curve was corrected to bench Reynolds number (§5, appendix.md §A3). Ambient temperature and pressure reference conditions are consistent between model and test. Known differences are documented: simplified cable bundles (porous baffles), neglected panel gap conduction, and suppressed fan housing geometry. The effect of bezel leakage paths is cited to explain the +3.7%/−4.6% flow/pressure discrepancy (§11). Boundary condition matching is systematic but no formal uncertainty propagation from input parameters to output QoIs is performed.</t>
        </is>
      </c>
      <c r="G14" s="41" t="inlineStr">
        <is>
          <t>assessed</t>
        </is>
      </c>
    </row>
    <row r="15" ht="15" customHeight="1" s="18">
      <c r="A15" s="36" t="inlineStr">
        <is>
          <t>Output comparison</t>
        </is>
      </c>
      <c r="B15" s="36" t="inlineStr">
        <is>
          <t>Validation — Assessment</t>
        </is>
      </c>
      <c r="C15" s="41" t="n">
        <v>3</v>
      </c>
      <c r="D15" s="41" t="n">
        <v>3</v>
      </c>
      <c r="E15" s="42" t="inlineStr">
        <is>
          <t>Quantitative comparison of simulation predictions to measurements across multiple locations; key QoI error within acceptable engineering tolerance</t>
        </is>
      </c>
      <c r="F15" s="41" t="inlineStr">
        <is>
          <t>Detailed quantitative comparison provided (§11): VRM2 hotspot −1.2 K (predicted 81.1°C vs. measured 82.3°C); mean absolute error across 12 thermocouple sites 1.7 K; standard deviation of errors 1.1 K; maximum deviation 3.8 K at VRM1 trailing edge. Flow rate +3.7% (0.084 vs. 0.081 kg/s); pressure drop −4.6% (62 vs. 65 Pa). Qualitative IR mapping agreement noted. Discrepancies are attributed to physical causes (cable bundle simplification, neglected leakage). No formal statistical validation metric (e.g., ASME V&amp;V 20 u_val) or prediction intervals are computed; comparison is engineering-level. Multiple comparison points and physical consistency of errors support level 3.</t>
        </is>
      </c>
      <c r="G15" s="41" t="inlineStr">
        <is>
          <t>assessed</t>
        </is>
      </c>
    </row>
    <row r="16" ht="15" customHeight="1" s="18">
      <c r="A16" s="35" t="inlineStr">
        <is>
          <t>Relevance of the quantities of interest</t>
        </is>
      </c>
      <c r="B16" s="36" t="inlineStr">
        <is>
          <t>Applicability</t>
        </is>
      </c>
      <c r="C16" s="41" t="n">
        <v>3</v>
      </c>
      <c r="D16" s="41" t="n">
        <v>4</v>
      </c>
      <c r="E16" s="42" t="inlineStr">
        <is>
          <t>Model outputs directly correspond to the decision-relevant safety/performance metrics and are measurable both computationally and experimentally</t>
        </is>
      </c>
      <c r="F16" s="41" t="inlineStr">
        <is>
          <t>The primary QoI — VRM2 base temperature — is directly the quantity against which the 85°C requirement is assessed (§1, §13). It is predicted by the model at device-base monitor patches and measured by calibrated Type-T thermocouples at the same locations. Secondary QoIs (module pressure drop, total mass flow) are directly relevant to fan controller margin sizing and are both computed and measured. The model monitor patch geometry (4 mm diameter) was explicitly matched to thermocouple bead footprint. QoI relevance is clearly established and traceably linked to the M3 decision criterion.</t>
        </is>
      </c>
      <c r="G16" s="41" t="inlineStr">
        <is>
          <t>assessed</t>
        </is>
      </c>
    </row>
    <row r="17" ht="15" customHeight="1" s="18">
      <c r="A17" s="36" t="inlineStr">
        <is>
          <t>Relevance of the validation activities to the COU</t>
        </is>
      </c>
      <c r="B17" s="36" t="inlineStr">
        <is>
          <t>Applicability</t>
        </is>
      </c>
      <c r="C17" s="41" t="n">
        <v>3</v>
      </c>
      <c r="D17" s="41" t="n">
        <v>3</v>
      </c>
      <c r="E17" s="42" t="inlineStr">
        <is>
          <t>Validation conditions (geometry, operating point, physics regime) are representative of the intended use; gaps are documented</t>
        </is>
      </c>
      <c r="F17" s="41" t="inlineStr">
        <is>
          <t>Validation bench uses the same PCB, heat sinks, housing, and fan lot as the production design intent; operating conditions (450 W, 25°C ambient, 12 V fans at 100% duty) match the nominal COU exactly (§10). Physics regime (turbulent internal forced convection with conjugate conduction and non-negligible radiation) is fully represented. Gaps are explicitly documented (§14): no validation at altitude, elevated ambient, reduced fan speed, blocked inlet, dust loading, or fan degradation; VRM1 trailing-edge region has largest discrepancy due to cable simplification. Report explicitly states the model is not extended to off-nominal conditions. Coverage of the stated nominal COU is adequate; coverage of the broader operating envelope is intentionally deferred.</t>
        </is>
      </c>
      <c r="G17" s="41" t="inlineStr">
        <is>
          <t>assessed</t>
        </is>
      </c>
    </row>
  </sheetData>
  <mergeCells count="2">
    <mergeCell ref="A2:F2"/>
    <mergeCell ref="A1:F1"/>
  </mergeCells>
  <dataValidations count="2">
    <dataValidation sqref="C5:D17" showDropDown="0" showInputMessage="0" showErrorMessage="0" allowBlank="1" type="list" errorStyle="stop" operator="between">
      <formula1>list_factor_level</formula1>
      <formula2>0</formula2>
    </dataValidation>
    <dataValidation sqref="F5:F17" showDropDown="0" showInputMessage="0" showErrorMessage="0" allowBlank="1" type="list" errorStyle="stop" operator="between">
      <formula1>list_assessed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1"/>
  </sheetPr>
  <dimension ref="A1:E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60" customWidth="1" style="17" min="2" max="2"/>
    <col width="22" customWidth="1" style="17" min="3" max="3"/>
    <col width="25" customWidth="1" style="17" min="4" max="4"/>
    <col width="16" customWidth="1" style="17" min="5" max="5"/>
  </cols>
  <sheetData>
    <row r="1" ht="30" customHeight="1" s="18">
      <c r="A1" s="19" t="inlineStr">
        <is>
          <t>Decision — The credibility judgment</t>
        </is>
      </c>
    </row>
    <row r="2" ht="15" customHeight="1" s="18">
      <c r="A2" s="20" t="inlineStr">
        <is>
          <t>Decision Outcome</t>
        </is>
      </c>
      <c r="B2" s="20" t="inlineStr">
        <is>
          <t>Decision Rationale</t>
        </is>
      </c>
      <c r="C2" s="20" t="inlineStr">
        <is>
          <t>Criteria Set</t>
        </is>
      </c>
      <c r="D2" s="20" t="inlineStr">
        <is>
          <t>Decided By</t>
        </is>
      </c>
      <c r="E2" s="20" t="inlineStr">
        <is>
          <t>Decision Date</t>
        </is>
      </c>
    </row>
    <row r="3" ht="22.35" customHeight="1" s="18">
      <c r="A3" s="39" t="inlineStr">
        <is>
          <t>Accepted</t>
        </is>
      </c>
      <c r="B3" s="39" t="inlineStr">
        <is>
          <t>The conjugate thermal-fluid model of the Ares-B3 3U compute module is accepted for its stated COU — supporting the M3 gate decision that VRM2 base temperature remains at or below 85°C at 25°C nominal ambient with fans at 100% duty. The model predicts 81.1°C versus a measured 82.3°C, yielding a conservative 3–4 K margin to the 85°C limit. Mesh convergence error is quantified at &lt; 0.6% of the asymptotic value, energy balance closes within 0.7%, and residuals meet tight convergence criteria. Mean absolute thermocouple agreement is 1.7 K across 12 sites. Known limitations (fan swirl, cable bundle simplification, neglected panel gaps, single test specimen, no altitude or off-nominal fan conditions) are explicitly documented and do not materially affect the nominal-condition judgment. The model is not accepted for off-nominal ambient, reduced fan speed, altitude, dust loading, or derating curve generation until those conditions are validated separately.</t>
        </is>
      </c>
      <c r="C3" s="22" t="inlineStr">
        <is>
          <t>Auto-filled from Assessment Summary</t>
        </is>
      </c>
      <c r="D3" s="39" t="inlineStr">
        <is>
          <t>Thermal Systems Group, Platform Engineering</t>
        </is>
      </c>
      <c r="E3" s="39" t="inlineStr">
        <is>
          <t>2026-07-22</t>
        </is>
      </c>
    </row>
    <row r="4" ht="15" customHeight="1" s="18">
      <c r="A4" s="24" t="n"/>
      <c r="B4" s="24" t="n"/>
      <c r="C4" s="25">
        <f>'Assessment Summary'!H4</f>
        <v/>
      </c>
      <c r="D4" s="25" t="n"/>
      <c r="E4" s="33" t="n"/>
    </row>
  </sheetData>
  <mergeCells count="1">
    <mergeCell ref="A1:E1"/>
  </mergeCells>
  <dataValidations count="1">
    <dataValidation sqref="A4" showDropDown="0" showInputMessage="0" showErrorMessage="0" allowBlank="0" error="Select Accepted, Not accepted, or Conditional" type="list" errorStyle="stop" operator="between">
      <formula1>list_decision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2026-03-31T17:48:36Z</dcterms:created>
  <dcterms:modified xmlns:dcterms="http://purl.org/dc/terms/" xmlns:xsi="http://www.w3.org/2001/XMLSchema-instance" xsi:type="dcterms:W3CDTF">2026-08-06T05:17:11Z</dcterms:modified>
  <cp:revision>0</cp:revision>
</cp:coreProperties>
</file>