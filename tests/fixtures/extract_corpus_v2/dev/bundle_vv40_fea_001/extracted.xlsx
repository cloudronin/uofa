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comments/comment3.xml" ContentType="application/vnd.openxmlformats-officedocument.spreadsheetml.comments+xml"/>
  <Override PartName="/xl/worksheets/sheet6.xml" ContentType="application/vnd.openxmlformats-officedocument.spreadsheetml.worksheet+xml"/>
  <Override PartName="/xl/comments/comment4.xml" ContentType="application/vnd.openxmlformats-officedocument.spreadsheetml.comments+xml"/>
  <Override PartName="/xl/worksheets/sheet7.xml" ContentType="application/vnd.openxmlformats-officedocument.spreadsheetml.worksheet+xml"/>
  <Override PartName="/xl/comments/comment5.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Assessment Summary" sheetId="1" state="visible" r:id="rId1"/>
    <sheet xmlns:r="http://schemas.openxmlformats.org/officeDocument/2006/relationships" name="Instructions" sheetId="2" state="visible" r:id="rId2"/>
    <sheet xmlns:r="http://schemas.openxmlformats.org/officeDocument/2006/relationships" name="_Lists" sheetId="3" state="hidden" r:id="rId3"/>
    <sheet xmlns:r="http://schemas.openxmlformats.org/officeDocument/2006/relationships" name="Model &amp; Data" sheetId="4" state="visible" r:id="rId4"/>
    <sheet xmlns:r="http://schemas.openxmlformats.org/officeDocument/2006/relationships" name="Validation Results" sheetId="5" state="visible" r:id="rId5"/>
    <sheet xmlns:r="http://schemas.openxmlformats.org/officeDocument/2006/relationships" name="Credibility Factors" sheetId="6" state="visible" r:id="rId6"/>
    <sheet xmlns:r="http://schemas.openxmlformats.org/officeDocument/2006/relationships" name="Decision" sheetId="7" state="visible" r:id="rId7"/>
  </sheets>
  <definedNames>
    <definedName name="list_assessed" hidden="0" function="0" vbProcedure="0">_Lists!$J$2:$J$4</definedName>
    <definedName name="list_assurance" hidden="0" function="0" vbProcedure="0">_Lists!$D$2:$D$4</definedName>
    <definedName name="list_decision" hidden="0" function="0" vbProcedure="0">_Lists!$K$2:$K$4</definedName>
    <definedName name="list_device_class" hidden="0" function="0" vbProcedure="0">_Lists!$B$2:$B$10</definedName>
    <definedName name="list_entity_type" hidden="0" function="0" vbProcedure="0">_Lists!$F$2:$F$4</definedName>
    <definedName name="list_factor_level" hidden="0" function="0" vbProcedure="0">_Lists!$I$2:$I$5</definedName>
    <definedName name="list_has_uq" hidden="0" function="0" vbProcedure="0">_Lists!$G$2:$G$3</definedName>
    <definedName name="list_mrl" hidden="0" function="0" vbProcedure="0">_Lists!$C$2:$C$6</definedName>
    <definedName name="list_pass_fail" hidden="0" function="0" vbProcedure="0">_Lists!$H$2:$H$5</definedName>
    <definedName name="list_profile" hidden="0" function="0" vbProcedure="0">_Lists!$A$2:$A$3</definedName>
    <definedName name="list_standards" hidden="0" function="0" vbProcedure="0">_Lists!$E$2:$E$5</definedName>
  </definedNames>
  <calcPr calcId="124519" fullCalcOnLoad="1" refMode="A1" iterate="0" iterateCount="100" iterateDelta="0.0001"/>
</workbook>
</file>

<file path=xl/styles.xml><?xml version="1.0" encoding="utf-8"?>
<styleSheet xmlns="http://schemas.openxmlformats.org/spreadsheetml/2006/main">
  <numFmts count="0"/>
  <fonts count="16">
    <font>
      <name val="Calibri"/>
      <charset val="1"/>
      <family val="2"/>
      <color theme="1"/>
      <sz val="11"/>
    </font>
    <font>
      <name val="Arial"/>
      <family val="0"/>
      <sz val="10"/>
    </font>
    <font>
      <name val="Arial"/>
      <family val="0"/>
      <sz val="10"/>
    </font>
    <font>
      <name val="Arial"/>
      <family val="0"/>
      <sz val="10"/>
    </font>
    <font>
      <name val="Arial"/>
      <charset val="1"/>
      <family val="0"/>
      <b val="1"/>
      <color rgb="FF1B4F72"/>
      <sz val="14"/>
    </font>
    <font>
      <name val="Arial"/>
      <charset val="1"/>
      <family val="0"/>
      <b val="1"/>
      <color rgb="FFFFFFFF"/>
      <sz val="10"/>
    </font>
    <font>
      <name val="Arial"/>
      <charset val="1"/>
      <family val="0"/>
      <i val="1"/>
      <color rgb="FF666666"/>
      <sz val="9"/>
    </font>
    <font>
      <name val="Arial"/>
      <charset val="1"/>
      <family val="0"/>
      <sz val="10"/>
    </font>
    <font>
      <name val="Arial"/>
      <charset val="1"/>
      <family val="0"/>
      <b val="1"/>
      <sz val="9"/>
    </font>
    <font>
      <name val="Arial"/>
      <charset val="1"/>
      <family val="0"/>
      <sz val="9"/>
    </font>
    <font>
      <name val="Arial"/>
      <charset val="1"/>
      <family val="0"/>
      <b val="1"/>
      <color rgb="FF1B4F72"/>
      <sz val="10"/>
    </font>
    <font>
      <name val="Cambria"/>
      <charset val="1"/>
      <family val="0"/>
      <b val="1"/>
      <sz val="11"/>
    </font>
    <font>
      <name val="Arial"/>
      <charset val="1"/>
      <family val="0"/>
      <i val="1"/>
      <color rgb="FF555555"/>
      <sz val="10"/>
    </font>
    <font>
      <name val="Arial"/>
      <charset val="1"/>
      <family val="0"/>
      <b val="1"/>
      <sz val="10"/>
    </font>
    <font>
      <name val="Arial"/>
      <b val="1"/>
      <color rgb="00FFFFFF"/>
      <sz val="10"/>
    </font>
    <font>
      <name val="Arial"/>
      <color rgb="00666666"/>
      <sz val="9"/>
    </font>
  </fonts>
  <fills count="10">
    <fill>
      <patternFill/>
    </fill>
    <fill>
      <patternFill patternType="gray125"/>
    </fill>
    <fill>
      <patternFill patternType="solid">
        <fgColor rgb="FF1B4F72"/>
        <bgColor rgb="FF333399"/>
      </patternFill>
    </fill>
    <fill>
      <patternFill patternType="solid">
        <fgColor rgb="FFF2F3F4"/>
        <bgColor rgb="FFFFFFFF"/>
      </patternFill>
    </fill>
    <fill>
      <patternFill patternType="solid">
        <fgColor rgb="FFD6EAF8"/>
        <bgColor rgb="FFD5F5E3"/>
      </patternFill>
    </fill>
    <fill>
      <patternFill patternType="solid">
        <fgColor rgb="FFD5F5E3"/>
        <bgColor rgb="FFD6EAF8"/>
      </patternFill>
    </fill>
    <fill>
      <patternFill patternType="solid">
        <fgColor rgb="FFFFFFFF"/>
        <bgColor rgb="FFF2F3F4"/>
      </patternFill>
    </fill>
    <fill>
      <patternFill patternType="solid">
        <fgColor rgb="001B4F72"/>
      </patternFill>
    </fill>
    <fill>
      <patternFill patternType="solid">
        <fgColor rgb="00F2F3F4"/>
      </patternFill>
    </fill>
    <fill>
      <patternFill patternType="solid">
        <fgColor rgb="00FFEB9C"/>
        <bgColor rgb="00FFEB9C"/>
      </patternFill>
    </fill>
  </fills>
  <borders count="3">
    <border>
      <left/>
      <right/>
      <top/>
      <bottom/>
      <diagonal/>
    </border>
    <border>
      <left style="thin">
        <color rgb="FFCCCCCC"/>
      </left>
      <right style="thin">
        <color rgb="FFCCCCCC"/>
      </right>
      <top style="thin">
        <color rgb="FFCCCCCC"/>
      </top>
      <bottom style="thin">
        <color rgb="FFCCCCCC"/>
      </bottom>
      <diagonal/>
    </border>
    <border>
      <left style="thin">
        <color rgb="00CCCCCC"/>
      </left>
      <right style="thin">
        <color rgb="00CCCCCC"/>
      </right>
      <top style="thin">
        <color rgb="00CCCCCC"/>
      </top>
      <bottom style="thin">
        <color rgb="00CCCCCC"/>
      </bottom>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43">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2" borderId="1" applyAlignment="1" pivotButton="0" quotePrefix="0" xfId="0">
      <alignment horizontal="center" vertical="center" wrapText="1"/>
    </xf>
    <xf numFmtId="0" fontId="6" fillId="3" borderId="1" applyAlignment="1" pivotButton="0" quotePrefix="0" xfId="0">
      <alignment horizontal="general" vertical="top" wrapText="1"/>
    </xf>
    <xf numFmtId="0" fontId="7" fillId="4" borderId="1" applyAlignment="1" pivotButton="0" quotePrefix="0" xfId="0">
      <alignment horizontal="general" vertical="top" wrapText="1"/>
    </xf>
    <xf numFmtId="0" fontId="7" fillId="5" borderId="1" applyAlignment="1" pivotButton="0" quotePrefix="0" xfId="0">
      <alignment horizontal="general" vertical="top" wrapText="1"/>
    </xf>
    <xf numFmtId="0" fontId="8" fillId="0" borderId="0" applyAlignment="1" pivotButton="0" quotePrefix="0" xfId="0">
      <alignment horizontal="general" vertical="bottom"/>
    </xf>
    <xf numFmtId="0" fontId="9" fillId="4" borderId="0" applyAlignment="1" pivotButton="0" quotePrefix="0" xfId="0">
      <alignment horizontal="general" vertical="bottom"/>
    </xf>
    <xf numFmtId="0" fontId="9" fillId="5" borderId="0" applyAlignment="1" pivotButton="0" quotePrefix="0" xfId="0">
      <alignment horizontal="general" vertical="bottom"/>
    </xf>
    <xf numFmtId="0" fontId="9" fillId="0" borderId="0" applyAlignment="1" pivotButton="0" quotePrefix="0" xfId="0">
      <alignment horizontal="general" vertical="bottom"/>
    </xf>
    <xf numFmtId="0" fontId="10" fillId="0" borderId="0" applyAlignment="1" pivotButton="0" quotePrefix="0" xfId="0">
      <alignment horizontal="general" vertical="bottom"/>
    </xf>
    <xf numFmtId="0" fontId="7" fillId="0" borderId="0" applyAlignment="1" pivotButton="0" quotePrefix="0" xfId="0">
      <alignment horizontal="general" vertical="bottom" wrapText="1"/>
    </xf>
    <xf numFmtId="0" fontId="11" fillId="0" borderId="0" applyAlignment="1" pivotButton="0" quotePrefix="0" xfId="0">
      <alignment horizontal="general" vertical="bottom"/>
    </xf>
    <xf numFmtId="0" fontId="7" fillId="6" borderId="1" applyAlignment="1" pivotButton="0" quotePrefix="0" xfId="0">
      <alignment horizontal="general" vertical="top" wrapText="1"/>
    </xf>
    <xf numFmtId="0" fontId="12" fillId="0" borderId="0" applyAlignment="1" pivotButton="0" quotePrefix="0" xfId="0">
      <alignment horizontal="general" vertical="bottom" wrapText="1"/>
    </xf>
    <xf numFmtId="0" fontId="13" fillId="3" borderId="1" applyAlignment="1" pivotButton="0" quotePrefix="0" xfId="0">
      <alignment horizontal="general" vertical="top" wrapText="1"/>
    </xf>
    <xf numFmtId="0" fontId="7" fillId="3" borderId="1"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2" borderId="1" applyAlignment="1" pivotButton="0" quotePrefix="0" xfId="0">
      <alignment horizontal="center" vertical="center" wrapText="1"/>
    </xf>
    <xf numFmtId="0" fontId="5" fillId="2" borderId="0" applyAlignment="1" pivotButton="0" quotePrefix="0" xfId="0">
      <alignment horizontal="center" vertical="center" wrapText="1"/>
    </xf>
    <xf numFmtId="0" fontId="6" fillId="3" borderId="1" applyAlignment="1" pivotButton="0" quotePrefix="0" xfId="0">
      <alignment horizontal="general" vertical="top" wrapText="1"/>
    </xf>
    <xf numFmtId="0" fontId="6" fillId="0" borderId="0" pivotButton="0" quotePrefix="0" xfId="0"/>
    <xf numFmtId="0" fontId="7" fillId="4" borderId="1" applyAlignment="1" pivotButton="0" quotePrefix="0" xfId="0">
      <alignment horizontal="general" vertical="top" wrapText="1"/>
    </xf>
    <xf numFmtId="0" fontId="7" fillId="5" borderId="1" applyAlignment="1" pivotButton="0" quotePrefix="0" xfId="0">
      <alignment horizontal="general" vertical="top" wrapText="1"/>
    </xf>
    <xf numFmtId="0" fontId="8" fillId="0" borderId="0" applyAlignment="1" pivotButton="0" quotePrefix="0" xfId="0">
      <alignment horizontal="general" vertical="bottom"/>
    </xf>
    <xf numFmtId="0" fontId="9" fillId="4" borderId="0" applyAlignment="1" pivotButton="0" quotePrefix="0" xfId="0">
      <alignment horizontal="general" vertical="bottom"/>
    </xf>
    <xf numFmtId="0" fontId="9" fillId="5" borderId="0" applyAlignment="1" pivotButton="0" quotePrefix="0" xfId="0">
      <alignment horizontal="general" vertical="bottom"/>
    </xf>
    <xf numFmtId="0" fontId="9" fillId="0" borderId="0" applyAlignment="1" pivotButton="0" quotePrefix="0" xfId="0">
      <alignment horizontal="general" vertical="bottom"/>
    </xf>
    <xf numFmtId="0" fontId="10" fillId="0" borderId="0" applyAlignment="1" pivotButton="0" quotePrefix="0" xfId="0">
      <alignment horizontal="general" vertical="bottom"/>
    </xf>
    <xf numFmtId="0" fontId="7" fillId="0" borderId="0" applyAlignment="1" pivotButton="0" quotePrefix="0" xfId="0">
      <alignment horizontal="general" vertical="bottom" wrapText="1"/>
    </xf>
    <xf numFmtId="0" fontId="11" fillId="0" borderId="0" applyAlignment="1" pivotButton="0" quotePrefix="0" xfId="0">
      <alignment horizontal="general" vertical="bottom"/>
    </xf>
    <xf numFmtId="0" fontId="7" fillId="6" borderId="1" applyAlignment="1" pivotButton="0" quotePrefix="0" xfId="0">
      <alignment horizontal="general" vertical="top" wrapText="1"/>
    </xf>
    <xf numFmtId="0" fontId="12" fillId="0" borderId="0" applyAlignment="1" pivotButton="0" quotePrefix="0" xfId="0">
      <alignment horizontal="general" vertical="bottom" wrapText="1"/>
    </xf>
    <xf numFmtId="0" fontId="13" fillId="3" borderId="1" applyAlignment="1" pivotButton="0" quotePrefix="0" xfId="0">
      <alignment horizontal="general" vertical="top" wrapText="1"/>
    </xf>
    <xf numFmtId="0" fontId="7" fillId="3" borderId="1" applyAlignment="1" pivotButton="0" quotePrefix="0" xfId="0">
      <alignment horizontal="general" vertical="top" wrapText="1"/>
    </xf>
    <xf numFmtId="0" fontId="14" fillId="7" borderId="2" applyAlignment="1" pivotButton="0" quotePrefix="0" xfId="0">
      <alignment horizontal="center" vertical="center" wrapText="1"/>
    </xf>
    <xf numFmtId="0" fontId="15" fillId="8" borderId="2" applyAlignment="1" pivotButton="0" quotePrefix="0" xfId="0">
      <alignment vertical="top" wrapText="1"/>
    </xf>
    <xf numFmtId="0" fontId="6" fillId="9" borderId="1" applyAlignment="1" pivotButton="0" quotePrefix="0" xfId="0">
      <alignment horizontal="general" vertical="top" wrapText="1"/>
    </xf>
    <xf numFmtId="0" fontId="6" fillId="9" borderId="0" pivotButton="0" quotePrefix="0" xfId="0"/>
    <xf numFmtId="0" fontId="7" fillId="9" borderId="1" applyAlignment="1" pivotButton="0" quotePrefix="0" xfId="0">
      <alignment horizontal="general" vertical="top" wrapText="1"/>
    </xf>
    <xf numFmtId="0" fontId="0" fillId="9" borderId="0"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CCCCC"/>
      <rgbColor rgb="FF808080"/>
      <rgbColor rgb="FF9999FF"/>
      <rgbColor rgb="FF993366"/>
      <rgbColor rgb="FFF2F3F4"/>
      <rgbColor rgb="FFD6EAF8"/>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D5F5E3"/>
      <rgbColor rgb="FFFFFF99"/>
      <rgbColor rgb="FF99CCFF"/>
      <rgbColor rgb="FFFF99CC"/>
      <rgbColor rgb="FFCC99FF"/>
      <rgbColor rgb="FFFFCC99"/>
      <rgbColor rgb="FF3366FF"/>
      <rgbColor rgb="FF33CCCC"/>
      <rgbColor rgb="FF99CC00"/>
      <rgbColor rgb="FFFFCC00"/>
      <rgbColor rgb="FFFF9900"/>
      <rgbColor rgb="FFFF6600"/>
      <rgbColor rgb="FF666666"/>
      <rgbColor rgb="FF969696"/>
      <rgbColor rgb="FF1B4F72"/>
      <rgbColor rgb="FF339966"/>
      <rgbColor rgb="FF003300"/>
      <rgbColor rgb="FF333300"/>
      <rgbColor rgb="FF993300"/>
      <rgbColor rgb="FF993366"/>
      <rgbColor rgb="FF333399"/>
      <rgbColor rgb="FF555555"/>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comments/comment1.xml><?xml version="1.0" encoding="utf-8"?>
<comments xmlns="http://schemas.openxmlformats.org/spreadsheetml/2006/main">
  <authors>
    <author>uofa extract</author>
  </authors>
  <commentList>
    <comment ref="A3" authorId="0" shapeId="0">
      <text>
        <t>[Extract] | Confidence: 50%</t>
      </text>
    </comment>
    <comment ref="B3" authorId="0" shapeId="0">
      <text>
        <t>[Extract] | Confidence: 50%</t>
      </text>
    </comment>
    <comment ref="C3" authorId="0" shapeId="0">
      <text>
        <t>[Extract] | Confidence: 50%</t>
      </text>
    </comment>
    <comment ref="D3" authorId="0" shapeId="0">
      <text>
        <t>[Extract] | Confidence: 50%</t>
      </text>
    </comment>
    <comment ref="E3" authorId="0" shapeId="0">
      <text>
        <t>[Extract] | Confidence: 50%</t>
      </text>
    </comment>
    <comment ref="F3" authorId="0" shapeId="0">
      <text>
        <t>[Extract] | Confidence: 50%</t>
      </text>
    </comment>
    <comment ref="G3" authorId="0" shapeId="0">
      <text>
        <t>[Extract] | Confidence: 50%</t>
      </text>
    </comment>
    <comment ref="H3" authorId="0" shapeId="0">
      <text>
        <t>[Extract] | Confidence: 50%</t>
      </text>
    </comment>
    <comment ref="K3" authorId="0" shapeId="0">
      <text>
        <t>[Extract] | Confidence: 50%</t>
      </text>
    </comment>
    <comment ref="L3" authorId="0" shapeId="0">
      <text>
        <t>[Extract] | Confidence: 50%</t>
      </text>
    </comment>
  </commentList>
</comments>
</file>

<file path=xl/comments/comment2.xml><?xml version="1.0" encoding="utf-8"?>
<comments xmlns="http://schemas.openxmlformats.org/spreadsheetml/2006/main">
  <authors>
    <author>uofa extract</author>
  </authors>
  <commentList>
    <comment ref="A3" authorId="0" shapeId="0">
      <text>
        <t>[Extract] | Confidence: 50%</t>
      </text>
    </comment>
    <comment ref="B3" authorId="0" shapeId="0">
      <text>
        <t>[Extract] | Confidence: 50%</t>
      </text>
    </comment>
    <comment ref="D3" authorId="0" shapeId="0">
      <text>
        <t>[Extract] | Confidence: 50%</t>
      </text>
    </comment>
    <comment ref="A4" authorId="0" shapeId="0">
      <text>
        <t>[Extract] | Confidence: 50%</t>
      </text>
    </comment>
    <comment ref="B4" authorId="0" shapeId="0">
      <text>
        <t>[Extract] | Confidence: 50%</t>
      </text>
    </comment>
    <comment ref="D4" authorId="0" shapeId="0">
      <text>
        <t>[Extract] | Confidence: 50%</t>
      </text>
    </comment>
    <comment ref="A5" authorId="0" shapeId="0">
      <text>
        <t>[Extract] | Confidence: 50%</t>
      </text>
    </comment>
    <comment ref="B5" authorId="0" shapeId="0">
      <text>
        <t>[Extract] | Confidence: 50%</t>
      </text>
    </comment>
    <comment ref="D5" authorId="0" shapeId="0">
      <text>
        <t>[Extract] | Confidence: 50%</t>
      </text>
    </comment>
    <comment ref="A6" authorId="0" shapeId="0">
      <text>
        <t>[Extract] | Confidence: 50%</t>
      </text>
    </comment>
    <comment ref="B6" authorId="0" shapeId="0">
      <text>
        <t>[Extract] | Confidence: 50%</t>
      </text>
    </comment>
    <comment ref="D6" authorId="0" shapeId="0">
      <text>
        <t>[Extract] | Confidence: 50%</t>
      </text>
    </comment>
  </commentList>
</comments>
</file>

<file path=xl/comments/comment3.xml><?xml version="1.0" encoding="utf-8"?>
<comments xmlns="http://schemas.openxmlformats.org/spreadsheetml/2006/main">
  <authors>
    <author>uofa extract</author>
  </authors>
  <commentList>
    <comment ref="A3" authorId="0" shapeId="0">
      <text>
        <t>[Extract] | Confidence: 50%</t>
      </text>
    </comment>
    <comment ref="B3" authorId="0" shapeId="0">
      <text>
        <t>[Extract] | Confidence: 50%</t>
      </text>
    </comment>
    <comment ref="D3" authorId="0" shapeId="0">
      <text>
        <t>[Extract] | Confidence: 50%</t>
      </text>
    </comment>
    <comment ref="E3" authorId="0" shapeId="0">
      <text>
        <t>[Extract] | Confidence: 50%</t>
      </text>
    </comment>
    <comment ref="F3" authorId="0" shapeId="0">
      <text>
        <t>[Extract] | Confidence: 50%</t>
      </text>
    </comment>
    <comment ref="G3" authorId="0" shapeId="0">
      <text>
        <t>[Extract] | Confidence: 50%</t>
      </text>
    </comment>
    <comment ref="H3" authorId="0" shapeId="0">
      <text>
        <t>[Extract] | Confidence: 50%</t>
      </text>
    </comment>
    <comment ref="I3" authorId="0" shapeId="0">
      <text>
        <t>[Extract] | Confidence: 50%</t>
      </text>
    </comment>
    <comment ref="A4" authorId="0" shapeId="0">
      <text>
        <t>[Extract] | Confidence: 50%</t>
      </text>
    </comment>
    <comment ref="B4" authorId="0" shapeId="0">
      <text>
        <t>[Extract] | Confidence: 50%</t>
      </text>
    </comment>
    <comment ref="D4" authorId="0" shapeId="0">
      <text>
        <t>[Extract] | Confidence: 50%</t>
      </text>
    </comment>
    <comment ref="E4" authorId="0" shapeId="0">
      <text>
        <t>[Extract] | Confidence: 50%</t>
      </text>
    </comment>
    <comment ref="F4" authorId="0" shapeId="0">
      <text>
        <t>[Extract] | Confidence: 50%</t>
      </text>
    </comment>
    <comment ref="G4" authorId="0" shapeId="0">
      <text>
        <t>[Extract] | Confidence: 50%</t>
      </text>
    </comment>
    <comment ref="H4" authorId="0" shapeId="0">
      <text>
        <t>[Extract] | Confidence: 50%</t>
      </text>
    </comment>
    <comment ref="I4" authorId="0" shapeId="0">
      <text>
        <t>[Extract] | Confidence: 50%</t>
      </text>
    </comment>
    <comment ref="A5" authorId="0" shapeId="0">
      <text>
        <t>[Extract] | Confidence: 50%</t>
      </text>
    </comment>
    <comment ref="B5" authorId="0" shapeId="0">
      <text>
        <t>[Extract] | Confidence: 50%</t>
      </text>
    </comment>
    <comment ref="D5" authorId="0" shapeId="0">
      <text>
        <t>[Extract] | Confidence: 50%</t>
      </text>
    </comment>
    <comment ref="E5" authorId="0" shapeId="0">
      <text>
        <t>[Extract] | Confidence: 50%</t>
      </text>
    </comment>
    <comment ref="F5" authorId="0" shapeId="0">
      <text>
        <t>[Extract] | Confidence: 50%</t>
      </text>
    </comment>
    <comment ref="G5" authorId="0" shapeId="0">
      <text>
        <t>[Extract] | Confidence: 50%</t>
      </text>
    </comment>
    <comment ref="H5" authorId="0" shapeId="0">
      <text>
        <t>[Extract] | Confidence: 50%</t>
      </text>
    </comment>
    <comment ref="I5" authorId="0" shapeId="0">
      <text>
        <t>[Extract] | Confidence: 50%</t>
      </text>
    </comment>
    <comment ref="A6" authorId="0" shapeId="0">
      <text>
        <t>[Extract] | Confidence: 50%</t>
      </text>
    </comment>
    <comment ref="B6" authorId="0" shapeId="0">
      <text>
        <t>[Extract] | Confidence: 50%</t>
      </text>
    </comment>
    <comment ref="D6" authorId="0" shapeId="0">
      <text>
        <t>[Extract] | Confidence: 50%</t>
      </text>
    </comment>
    <comment ref="E6" authorId="0" shapeId="0">
      <text>
        <t>[Extract] | Confidence: 50%</t>
      </text>
    </comment>
    <comment ref="F6" authorId="0" shapeId="0">
      <text>
        <t>[Extract] | Confidence: 50%</t>
      </text>
    </comment>
    <comment ref="H6" authorId="0" shapeId="0">
      <text>
        <t>[Extract] | Confidence: 50%</t>
      </text>
    </comment>
    <comment ref="I6" authorId="0" shapeId="0">
      <text>
        <t>[Extract] | Confidence: 50%</t>
      </text>
    </comment>
    <comment ref="A7" authorId="0" shapeId="0">
      <text>
        <t>[Extract] | Confidence: 50%</t>
      </text>
    </comment>
    <comment ref="B7" authorId="0" shapeId="0">
      <text>
        <t>[Extract] | Confidence: 50%</t>
      </text>
    </comment>
    <comment ref="D7" authorId="0" shapeId="0">
      <text>
        <t>[Extract] | Confidence: 50%</t>
      </text>
    </comment>
    <comment ref="E7" authorId="0" shapeId="0">
      <text>
        <t>[Extract] | Confidence: 50%</t>
      </text>
    </comment>
    <comment ref="F7" authorId="0" shapeId="0">
      <text>
        <t>[Extract] | Confidence: 50%</t>
      </text>
    </comment>
    <comment ref="G7" authorId="0" shapeId="0">
      <text>
        <t>[Extract] | Confidence: 50%</t>
      </text>
    </comment>
    <comment ref="H7" authorId="0" shapeId="0">
      <text>
        <t>[Extract] | Confidence: 50%</t>
      </text>
    </comment>
    <comment ref="I7" authorId="0" shapeId="0">
      <text>
        <t>[Extract] | Confidence: 50%</t>
      </text>
    </comment>
  </commentList>
</comments>
</file>

<file path=xl/comments/comment4.xml><?xml version="1.0" encoding="utf-8"?>
<comments xmlns="http://schemas.openxmlformats.org/spreadsheetml/2006/main">
  <authors>
    <author>uofa extract</author>
  </authors>
  <commentList>
    <comment ref="C5" authorId="0" shapeId="0">
      <text>
        <t>[Extract] | Confidence: 50%</t>
      </text>
    </comment>
    <comment ref="D5" authorId="0" shapeId="0">
      <text>
        <t>[Extract] | Confidence: 50%</t>
      </text>
    </comment>
    <comment ref="E5" authorId="0" shapeId="0">
      <text>
        <t>[Extract] | Confidence: 50%</t>
      </text>
    </comment>
    <comment ref="F5" authorId="0" shapeId="0">
      <text>
        <t>[Extract] | Confidence: 50%</t>
      </text>
    </comment>
    <comment ref="G5" authorId="0" shapeId="0">
      <text>
        <t>[Extract] | Confidence: 50%</t>
      </text>
    </comment>
    <comment ref="C6" authorId="0" shapeId="0">
      <text>
        <t>[Extract] | Confidence: 50%</t>
      </text>
    </comment>
    <comment ref="D6" authorId="0" shapeId="0">
      <text>
        <t>[Extract] | Confidence: 50%</t>
      </text>
    </comment>
    <comment ref="E6" authorId="0" shapeId="0">
      <text>
        <t>[Extract] | Confidence: 50%</t>
      </text>
    </comment>
    <comment ref="F6" authorId="0" shapeId="0">
      <text>
        <t>[Extract] | Confidence: 50%</t>
      </text>
    </comment>
    <comment ref="G6" authorId="0" shapeId="0">
      <text>
        <t>[Extract] | Confidence: 50%</t>
      </text>
    </comment>
    <comment ref="C7" authorId="0" shapeId="0">
      <text>
        <t>[Extract] | Confidence: 50%</t>
      </text>
    </comment>
    <comment ref="D7" authorId="0" shapeId="0">
      <text>
        <t>[Extract] | Confidence: 50%</t>
      </text>
    </comment>
    <comment ref="E7" authorId="0" shapeId="0">
      <text>
        <t>[Extract] | Confidence: 50%</t>
      </text>
    </comment>
    <comment ref="F7" authorId="0" shapeId="0">
      <text>
        <t>[Extract] | Confidence: 50%</t>
      </text>
    </comment>
    <comment ref="G7" authorId="0" shapeId="0">
      <text>
        <t>[Extract] | Confidence: 50%</t>
      </text>
    </comment>
    <comment ref="C8" authorId="0" shapeId="0">
      <text>
        <t>[Extract] | Confidence: 50%</t>
      </text>
    </comment>
    <comment ref="D8" authorId="0" shapeId="0">
      <text>
        <t>[Extract] | Confidence: 50%</t>
      </text>
    </comment>
    <comment ref="E8" authorId="0" shapeId="0">
      <text>
        <t>[Extract] | Confidence: 50%</t>
      </text>
    </comment>
    <comment ref="F8" authorId="0" shapeId="0">
      <text>
        <t>[Extract] | Confidence: 50%</t>
      </text>
    </comment>
    <comment ref="G8" authorId="0" shapeId="0">
      <text>
        <t>[Extract] | Confidence: 50%</t>
      </text>
    </comment>
    <comment ref="C9" authorId="0" shapeId="0">
      <text>
        <t>[Extract] | Confidence: 50%</t>
      </text>
    </comment>
    <comment ref="D9" authorId="0" shapeId="0">
      <text>
        <t>[Extract] | Confidence: 50%</t>
      </text>
    </comment>
    <comment ref="E9" authorId="0" shapeId="0">
      <text>
        <t>[Extract] | Confidence: 50%</t>
      </text>
    </comment>
    <comment ref="F9" authorId="0" shapeId="0">
      <text>
        <t>[Extract] | Confidence: 50%</t>
      </text>
    </comment>
    <comment ref="G9" authorId="0" shapeId="0">
      <text>
        <t>[Extract] | Confidence: 50%</t>
      </text>
    </comment>
    <comment ref="C10" authorId="0" shapeId="0">
      <text>
        <t>[Extract] | Confidence: 50%</t>
      </text>
    </comment>
    <comment ref="D10" authorId="0" shapeId="0">
      <text>
        <t>[Extract] | Confidence: 50%</t>
      </text>
    </comment>
    <comment ref="E10" authorId="0" shapeId="0">
      <text>
        <t>[Extract] | Confidence: 50%</t>
      </text>
    </comment>
    <comment ref="F10" authorId="0" shapeId="0">
      <text>
        <t>[Extract] | Confidence: 50%</t>
      </text>
    </comment>
    <comment ref="G10" authorId="0" shapeId="0">
      <text>
        <t>[Extract] | Confidence: 50%</t>
      </text>
    </comment>
    <comment ref="C11" authorId="0" shapeId="0">
      <text>
        <t>[Extract] | Confidence: 50%</t>
      </text>
    </comment>
    <comment ref="D11" authorId="0" shapeId="0">
      <text>
        <t>[Extract] | Confidence: 50%</t>
      </text>
    </comment>
    <comment ref="E11" authorId="0" shapeId="0">
      <text>
        <t>[Extract] | Confidence: 50%</t>
      </text>
    </comment>
    <comment ref="F11" authorId="0" shapeId="0">
      <text>
        <t>[Extract] | Confidence: 50%</t>
      </text>
    </comment>
    <comment ref="G11" authorId="0" shapeId="0">
      <text>
        <t>[Extract] | Confidence: 50%</t>
      </text>
    </comment>
    <comment ref="C12" authorId="0" shapeId="0">
      <text>
        <t>[Extract] | Confidence: 50%</t>
      </text>
    </comment>
    <comment ref="D12" authorId="0" shapeId="0">
      <text>
        <t>[Extract] | Confidence: 50%</t>
      </text>
    </comment>
    <comment ref="E12" authorId="0" shapeId="0">
      <text>
        <t>[Extract] | Confidence: 50%</t>
      </text>
    </comment>
    <comment ref="F12" authorId="0" shapeId="0">
      <text>
        <t>[Extract] | Confidence: 50%</t>
      </text>
    </comment>
    <comment ref="G12" authorId="0" shapeId="0">
      <text>
        <t>[Extract] | Confidence: 50%</t>
      </text>
    </comment>
    <comment ref="C13" authorId="0" shapeId="0">
      <text>
        <t>[Extract] | Confidence: 50%</t>
      </text>
    </comment>
    <comment ref="D13" authorId="0" shapeId="0">
      <text>
        <t>[Extract] | Confidence: 50%</t>
      </text>
    </comment>
    <comment ref="E13" authorId="0" shapeId="0">
      <text>
        <t>[Extract] | Confidence: 50%</t>
      </text>
    </comment>
    <comment ref="F13" authorId="0" shapeId="0">
      <text>
        <t>[Extract] | Confidence: 50%</t>
      </text>
    </comment>
    <comment ref="G13" authorId="0" shapeId="0">
      <text>
        <t>[Extract] | Confidence: 50%</t>
      </text>
    </comment>
    <comment ref="C14" authorId="0" shapeId="0">
      <text>
        <t>[Extract] | Confidence: 50%</t>
      </text>
    </comment>
    <comment ref="D14" authorId="0" shapeId="0">
      <text>
        <t>[Extract] | Confidence: 50%</t>
      </text>
    </comment>
    <comment ref="E14" authorId="0" shapeId="0">
      <text>
        <t>[Extract] | Confidence: 50%</t>
      </text>
    </comment>
    <comment ref="F14" authorId="0" shapeId="0">
      <text>
        <t>[Extract] | Confidence: 50%</t>
      </text>
    </comment>
    <comment ref="G14" authorId="0" shapeId="0">
      <text>
        <t>[Extract] | Confidence: 50%</t>
      </text>
    </comment>
    <comment ref="C15" authorId="0" shapeId="0">
      <text>
        <t>[Extract] | Confidence: 50%</t>
      </text>
    </comment>
    <comment ref="D15" authorId="0" shapeId="0">
      <text>
        <t>[Extract] | Confidence: 50%</t>
      </text>
    </comment>
    <comment ref="E15" authorId="0" shapeId="0">
      <text>
        <t>[Extract] | Confidence: 50%</t>
      </text>
    </comment>
    <comment ref="F15" authorId="0" shapeId="0">
      <text>
        <t>[Extract] | Confidence: 50%</t>
      </text>
    </comment>
    <comment ref="G15" authorId="0" shapeId="0">
      <text>
        <t>[Extract] | Confidence: 50%</t>
      </text>
    </comment>
    <comment ref="C16" authorId="0" shapeId="0">
      <text>
        <t>[Extract] | Confidence: 50%</t>
      </text>
    </comment>
    <comment ref="D16" authorId="0" shapeId="0">
      <text>
        <t>[Extract] | Confidence: 50%</t>
      </text>
    </comment>
    <comment ref="E16" authorId="0" shapeId="0">
      <text>
        <t>[Extract] | Confidence: 50%</t>
      </text>
    </comment>
    <comment ref="F16" authorId="0" shapeId="0">
      <text>
        <t>[Extract] | Confidence: 50%</t>
      </text>
    </comment>
    <comment ref="G16" authorId="0" shapeId="0">
      <text>
        <t>[Extract] | Confidence: 50%</t>
      </text>
    </comment>
    <comment ref="C17" authorId="0" shapeId="0">
      <text>
        <t>[Extract] | Confidence: 50%</t>
      </text>
    </comment>
    <comment ref="D17" authorId="0" shapeId="0">
      <text>
        <t>[Extract] | Confidence: 50%</t>
      </text>
    </comment>
    <comment ref="E17" authorId="0" shapeId="0">
      <text>
        <t>[Extract] | Confidence: 50%</t>
      </text>
    </comment>
    <comment ref="F17" authorId="0" shapeId="0">
      <text>
        <t>[Extract] | Confidence: 50%</t>
      </text>
    </comment>
    <comment ref="G17" authorId="0" shapeId="0">
      <text>
        <t>[Extract] | Confidence: 50%</t>
      </text>
    </comment>
  </commentList>
</comments>
</file>

<file path=xl/comments/comment5.xml><?xml version="1.0" encoding="utf-8"?>
<comments xmlns="http://schemas.openxmlformats.org/spreadsheetml/2006/main">
  <authors>
    <author>uofa extract</author>
  </authors>
  <commentList>
    <comment ref="A3" authorId="0" shapeId="0">
      <text>
        <t>[Extract] | Confidence: 50%</t>
      </text>
    </comment>
    <comment ref="B3" authorId="0" shapeId="0">
      <text>
        <t>[Extract] | Confidence: 50%</t>
      </text>
    </comment>
  </commentList>
</comment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5.xml.rels><Relationships xmlns="http://schemas.openxmlformats.org/package/2006/relationships"><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6.xml.rels><Relationships xmlns="http://schemas.openxmlformats.org/package/2006/relationships"><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7.xml.rels><Relationships xmlns="http://schemas.openxmlformats.org/package/2006/relationships"><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sheet1.xml><?xml version="1.0" encoding="utf-8"?>
<worksheet xmlns="http://schemas.openxmlformats.org/spreadsheetml/2006/main">
  <sheetPr filterMode="0">
    <outlinePr summaryBelow="1" summaryRight="1"/>
    <pageSetUpPr fitToPage="1"/>
  </sheetPr>
  <dimension ref="A1:L6"/>
  <sheetViews>
    <sheetView showFormulas="0" showGridLines="1" showRowColHeaders="1" showZeros="1" rightToLeft="0" tabSelected="1"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0" customWidth="1" style="17" min="1" max="1"/>
    <col width="30" customWidth="1" style="17" min="2" max="2"/>
    <col width="40" customWidth="1" style="17" min="3" max="3"/>
    <col width="12" customWidth="1" style="17" min="4" max="4"/>
    <col width="14" customWidth="1" style="17" min="5" max="5"/>
    <col width="16" customWidth="1" style="17" min="6" max="6"/>
    <col width="14" customWidth="1" style="17" min="7" max="7"/>
    <col width="20" customWidth="1" style="17" min="8" max="8"/>
    <col width="22" customWidth="1" style="17" min="9" max="9"/>
    <col width="16" customWidth="1" style="17" min="10" max="10"/>
    <col width="30" customWidth="1" style="17" min="11" max="11"/>
  </cols>
  <sheetData>
    <row r="1" ht="30" customHeight="1" s="18">
      <c r="A1" s="19" t="inlineStr">
        <is>
          <t>Unit of Assurance — Assessment Summary</t>
        </is>
      </c>
    </row>
    <row r="2" ht="23.85" customHeight="1" s="18">
      <c r="A2" s="20" t="inlineStr">
        <is>
          <t>Project Name</t>
        </is>
      </c>
      <c r="B2" s="20" t="inlineStr">
        <is>
          <t>COU Name</t>
        </is>
      </c>
      <c r="C2" s="20" t="inlineStr">
        <is>
          <t>COU Description</t>
        </is>
      </c>
      <c r="D2" s="20" t="inlineStr">
        <is>
          <t>Profile</t>
        </is>
      </c>
      <c r="E2" s="20" t="inlineStr">
        <is>
          <t>Device Class</t>
        </is>
      </c>
      <c r="F2" s="20" t="inlineStr">
        <is>
          <t>Model Risk Level</t>
        </is>
      </c>
      <c r="G2" s="20" t="inlineStr">
        <is>
          <t>Assurance Level</t>
        </is>
      </c>
      <c r="H2" s="20" t="inlineStr">
        <is>
          <t>Standards Reference</t>
        </is>
      </c>
      <c r="I2" s="20" t="inlineStr">
        <is>
          <t>Assessor Name</t>
        </is>
      </c>
      <c r="J2" s="20" t="inlineStr">
        <is>
          <t>Assessment Date</t>
        </is>
      </c>
      <c r="K2" s="20" t="inlineStr">
        <is>
          <t>Source Document</t>
        </is>
      </c>
      <c r="L2" s="21" t="inlineStr">
        <is>
          <t>Has UQ?</t>
        </is>
      </c>
    </row>
    <row r="3" ht="32.8" customHeight="1" s="18">
      <c r="A3" s="39" t="inlineStr">
        <is>
          <t>Structural FEA of Cementless Hip Stem for Preclinical Decision Support</t>
        </is>
      </c>
      <c r="B3" s="39" t="inlineStr">
        <is>
          <t>FEA-based design down-selection and test planning for a cementless Ti-6Al-4V femoral stem under ISO 7206-4-like static loads</t>
        </is>
      </c>
      <c r="C3" s="39" t="inlineStr">
        <is>
          <t>A finite-element model of a press-fit cementless hip stem seated in a composite femur is used to rank-order three design variants, estimate safety margins, and guide strain-gauge instrumentation placement prior to ISO 7206-4 bench testing. The model outputs peak von Mises stem stress, max principal cortical strain, and relative interface micromotion under two static load cases (2300 N axial and 3000 N + 20 Nm torsion). The model is not intended for per-patient prognosis, fatigue life prediction, or extreme-activity analysis.</t>
        </is>
      </c>
      <c r="D3" s="39" t="inlineStr">
        <is>
          <t>Complete</t>
        </is>
      </c>
      <c r="E3" s="39" t="inlineStr">
        <is>
          <t>Class II</t>
        </is>
      </c>
      <c r="F3" s="39" t="inlineStr">
        <is>
          <t>MRL 3</t>
        </is>
      </c>
      <c r="G3" s="39" t="inlineStr">
        <is>
          <t>Medium</t>
        </is>
      </c>
      <c r="H3" s="39" t="inlineStr">
        <is>
          <t>ASME-VV40-2018</t>
        </is>
      </c>
      <c r="I3" s="22" t="n"/>
      <c r="J3" s="22" t="inlineStr">
        <is>
          <t>Date of this assessment (YYYY-MM-DD)</t>
        </is>
      </c>
      <c r="K3" s="39" t="inlineStr">
        <is>
          <t>report.md</t>
        </is>
      </c>
      <c r="L3" s="40" t="inlineStr">
        <is>
          <t>Yes</t>
        </is>
      </c>
    </row>
    <row r="4" ht="15" customHeight="1" s="18">
      <c r="A4" s="24" t="n"/>
      <c r="B4" s="24" t="n"/>
      <c r="C4" s="25" t="n"/>
      <c r="D4" s="24" t="n"/>
      <c r="E4" s="25" t="n"/>
      <c r="F4" s="25" t="n"/>
      <c r="G4" s="25" t="n"/>
      <c r="H4" s="25" t="n"/>
      <c r="I4" s="24" t="n"/>
      <c r="J4" s="24" t="n"/>
      <c r="K4" s="25" t="n"/>
    </row>
    <row r="6" ht="15" customHeight="1" s="18">
      <c r="A6" s="26" t="inlineStr">
        <is>
          <t>Legend:</t>
        </is>
      </c>
      <c r="C6" s="27" t="inlineStr">
        <is>
          <t>Required (Minimal)</t>
        </is>
      </c>
      <c r="D6" s="28" t="inlineStr">
        <is>
          <t>Required (Complete)</t>
        </is>
      </c>
      <c r="E6" s="29" t="inlineStr">
        <is>
          <t>Optional</t>
        </is>
      </c>
    </row>
  </sheetData>
  <mergeCells count="2">
    <mergeCell ref="A1:K1"/>
    <mergeCell ref="A6:B6"/>
  </mergeCells>
  <dataValidations count="5">
    <dataValidation sqref="D4" showDropDown="0" showInputMessage="0" showErrorMessage="0" allowBlank="0" error="Select Minimal or Complete" type="list" errorStyle="stop" operator="between">
      <formula1>list_profile</formula1>
      <formula2>0</formula2>
    </dataValidation>
    <dataValidation sqref="E4" showDropDown="0" showInputMessage="0" showErrorMessage="0" allowBlank="1" type="list" errorStyle="stop" operator="between">
      <formula1>list_device_class</formula1>
      <formula2>0</formula2>
    </dataValidation>
    <dataValidation sqref="F4" showDropDown="0" showInputMessage="0" showErrorMessage="0" allowBlank="1" type="list" errorStyle="stop" operator="between">
      <formula1>list_mrl</formula1>
      <formula2>0</formula2>
    </dataValidation>
    <dataValidation sqref="G4" showDropDown="0" showInputMessage="0" showErrorMessage="0" allowBlank="1" type="list" errorStyle="stop" operator="between">
      <formula1>list_assurance</formula1>
      <formula2>0</formula2>
    </dataValidation>
    <dataValidation sqref="H4" showDropDown="0" showInputMessage="0" showErrorMessage="0" allowBlank="1" type="list" errorStyle="stop" operator="between">
      <formula1>list_standards</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2.xml><?xml version="1.0" encoding="utf-8"?>
<worksheet xmlns="http://schemas.openxmlformats.org/spreadsheetml/2006/main">
  <sheetPr filterMode="0">
    <outlinePr summaryBelow="1" summaryRight="1"/>
    <pageSetUpPr fitToPage="1"/>
  </sheetPr>
  <dimension ref="A1:B11"/>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2" customWidth="1" style="17" min="1" max="1"/>
    <col width="90" customWidth="1" style="17" min="2" max="2"/>
  </cols>
  <sheetData>
    <row r="1" ht="30" customHeight="1" s="18">
      <c r="A1" s="19" t="inlineStr">
        <is>
          <t>UofA Excel Template — Instructions</t>
        </is>
      </c>
    </row>
    <row r="3" ht="39.75" customHeight="1" s="18">
      <c r="A3" s="30" t="inlineStr">
        <is>
          <t>What is this?</t>
        </is>
      </c>
      <c r="B3" s="31" t="inlineStr">
        <is>
          <t>This workbook captures a credibility assessment for one Context of Use (COU). Fill it out, then run `uofa import` to convert it to a machine-verifiable evidence package.</t>
        </is>
      </c>
    </row>
    <row r="4" ht="39.75" customHeight="1" s="18">
      <c r="A4" s="30" t="inlineStr">
        <is>
          <t>One workbook = one COU</t>
        </is>
      </c>
      <c r="B4" s="31" t="inlineStr">
        <is>
          <t>If your project has multiple COUs (e.g., different device classes or risk levels for the same model), create a separate workbook for each.</t>
        </is>
      </c>
    </row>
    <row r="5" ht="39.75" customHeight="1" s="18">
      <c r="A5" s="30" t="inlineStr">
        <is>
          <t>Profiles</t>
        </is>
      </c>
      <c r="B5" s="31" t="inlineStr">
        <is>
          <t>Minimal (7 fields, lightweight audit trail) is for early-stage projects or live pipeline capture. Complete (full V&amp;V 40 assessment) is for regulatory submissions.</t>
        </is>
      </c>
    </row>
    <row r="6" ht="39.75" customHeight="1" s="18">
      <c r="A6" s="30" t="inlineStr">
        <is>
          <t>Color coding</t>
        </is>
      </c>
      <c r="B6" s="31" t="inlineStr">
        <is>
          <t>Blue cells = required for Minimal profile. Green cells = required for Complete profile. White cells = optional.</t>
        </is>
      </c>
    </row>
    <row r="7" ht="39.75" customHeight="1" s="18">
      <c r="A7" s="30" t="inlineStr">
        <is>
          <t>Credibility Factors</t>
        </is>
      </c>
      <c r="B7" s="31" t="inlineStr">
        <is>
          <t>Sheet 4 is pre-populated with all 13 V&amp;V 40 factors from Table 5-1. You do not need to assess all 13 — set Assessed = "No" or "N/A" for factors not relevant to your COU.</t>
        </is>
      </c>
    </row>
    <row r="8" ht="39.75" customHeight="1" s="18">
      <c r="A8" s="30" t="inlineStr">
        <is>
          <t>Dropdowns</t>
        </is>
      </c>
      <c r="B8" s="31" t="inlineStr">
        <is>
          <t>Most constrained fields use dropdown lists. If you need a custom value not in the dropdown, type it directly (the validation will warn but not prevent entry).</t>
        </is>
      </c>
    </row>
    <row r="9" ht="39.75" customHeight="1" s="18">
      <c r="A9" s="30" t="inlineStr">
        <is>
          <t>After filling out</t>
        </is>
      </c>
      <c r="B9" s="31" t="inlineStr">
        <is>
          <t>Run: uofa import your-file.xlsx --sign --key keys/your.key --check</t>
        </is>
      </c>
    </row>
    <row r="10" ht="39.75" customHeight="1" s="18">
      <c r="A10" s="30" t="inlineStr">
        <is>
          <t>What the tool checks</t>
        </is>
      </c>
      <c r="B10" s="31" t="inlineStr">
        <is>
          <t>Gate 1 (SHACL): Are all required fields present? Gate 2 (Jena rules): Are there quality gaps (weakeners)? Gate 3 (Integrity): Is the hash and signature valid?</t>
        </is>
      </c>
    </row>
    <row r="11" ht="39.75" customHeight="1" s="18">
      <c r="A11" s="30" t="inlineStr">
        <is>
          <t>More info</t>
        </is>
      </c>
      <c r="B11" s="31" t="inlineStr">
        <is>
          <t>https://crediblesimulation.com | https://github.com/cloudronin/uofa</t>
        </is>
      </c>
    </row>
  </sheetData>
  <mergeCells count="1">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L1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sheetData>
    <row r="1" ht="15" customHeight="1" s="18">
      <c r="A1" s="32" t="inlineStr">
        <is>
          <t>Profile</t>
        </is>
      </c>
      <c r="B1" s="32" t="inlineStr">
        <is>
          <t>Device Class</t>
        </is>
      </c>
      <c r="C1" s="32" t="inlineStr">
        <is>
          <t>Model Risk Level</t>
        </is>
      </c>
      <c r="D1" s="32" t="inlineStr">
        <is>
          <t>Assurance Level</t>
        </is>
      </c>
      <c r="E1" s="32" t="inlineStr">
        <is>
          <t>Standards Reference</t>
        </is>
      </c>
      <c r="F1" s="32" t="inlineStr">
        <is>
          <t>Entity Type</t>
        </is>
      </c>
      <c r="G1" s="32" t="inlineStr">
        <is>
          <t>Has UQ</t>
        </is>
      </c>
      <c r="H1" s="32" t="inlineStr">
        <is>
          <t>Pass/Fail</t>
        </is>
      </c>
      <c r="I1" s="32" t="inlineStr">
        <is>
          <t>Factor Level (1-5)</t>
        </is>
      </c>
      <c r="J1" s="32" t="inlineStr">
        <is>
          <t>Factor Status</t>
        </is>
      </c>
      <c r="K1" s="32" t="inlineStr">
        <is>
          <t>Decision Outcome</t>
        </is>
      </c>
      <c r="L1" s="17" t="inlineStr">
        <is>
          <t>Has UQ (COU-level)</t>
        </is>
      </c>
    </row>
    <row r="2" ht="15" customHeight="1" s="18">
      <c r="A2" s="17" t="inlineStr">
        <is>
          <t>Minimal</t>
        </is>
      </c>
      <c r="B2" s="17" t="inlineStr">
        <is>
          <t>Class I</t>
        </is>
      </c>
      <c r="C2" s="17" t="inlineStr">
        <is>
          <t>MRL 1</t>
        </is>
      </c>
      <c r="D2" s="17" t="inlineStr">
        <is>
          <t>Low</t>
        </is>
      </c>
      <c r="E2" s="17" t="inlineStr">
        <is>
          <t>ASME-VV40-2018</t>
        </is>
      </c>
      <c r="F2" s="17" t="inlineStr">
        <is>
          <t>Requirement</t>
        </is>
      </c>
      <c r="G2" s="17" t="inlineStr">
        <is>
          <t>Yes</t>
        </is>
      </c>
      <c r="H2" s="17" t="inlineStr">
        <is>
          <t>Pass</t>
        </is>
      </c>
      <c r="I2" s="17" t="n">
        <v>1</v>
      </c>
      <c r="J2" s="17" t="inlineStr">
        <is>
          <t>assessed</t>
        </is>
      </c>
      <c r="K2" s="17" t="inlineStr">
        <is>
          <t>Accepted</t>
        </is>
      </c>
      <c r="L2" s="17" t="inlineStr">
        <is>
          <t>Yes</t>
        </is>
      </c>
    </row>
    <row r="3" ht="15" customHeight="1" s="18">
      <c r="A3" s="17" t="inlineStr">
        <is>
          <t>Complete</t>
        </is>
      </c>
      <c r="B3" s="17" t="inlineStr">
        <is>
          <t>Class II</t>
        </is>
      </c>
      <c r="C3" s="17" t="inlineStr">
        <is>
          <t>MRL 2</t>
        </is>
      </c>
      <c r="D3" s="17" t="inlineStr">
        <is>
          <t>Medium</t>
        </is>
      </c>
      <c r="E3" s="17" t="inlineStr">
        <is>
          <t>NASA-STD-7009B</t>
        </is>
      </c>
      <c r="F3" s="17" t="inlineStr">
        <is>
          <t>Model</t>
        </is>
      </c>
      <c r="G3" s="17" t="inlineStr">
        <is>
          <t>No</t>
        </is>
      </c>
      <c r="H3" s="17" t="inlineStr">
        <is>
          <t>Fail</t>
        </is>
      </c>
      <c r="I3" s="17" t="n">
        <v>2</v>
      </c>
      <c r="J3" s="17" t="inlineStr">
        <is>
          <t>not-assessed</t>
        </is>
      </c>
      <c r="K3" s="17" t="inlineStr">
        <is>
          <t>Not accepted</t>
        </is>
      </c>
      <c r="L3" s="17" t="inlineStr">
        <is>
          <t>No</t>
        </is>
      </c>
    </row>
    <row r="4" ht="15" customHeight="1" s="18">
      <c r="B4" s="17" t="inlineStr">
        <is>
          <t>Class III</t>
        </is>
      </c>
      <c r="C4" s="17" t="inlineStr">
        <is>
          <t>MRL 3</t>
        </is>
      </c>
      <c r="D4" s="17" t="inlineStr">
        <is>
          <t>High</t>
        </is>
      </c>
      <c r="E4" s="17" t="inlineStr">
        <is>
          <t>FDA-2023-CMS</t>
        </is>
      </c>
      <c r="F4" s="17" t="inlineStr">
        <is>
          <t>Dataset</t>
        </is>
      </c>
      <c r="H4" s="17" t="inlineStr">
        <is>
          <t>Inconclusive</t>
        </is>
      </c>
      <c r="I4" s="17" t="n">
        <v>3</v>
      </c>
      <c r="J4" s="17" t="inlineStr">
        <is>
          <t>scoped-out</t>
        </is>
      </c>
      <c r="K4" s="17" t="inlineStr">
        <is>
          <t>Conditional</t>
        </is>
      </c>
    </row>
    <row r="5" ht="15" customHeight="1" s="18">
      <c r="B5" s="17" t="inlineStr">
        <is>
          <t>Category A</t>
        </is>
      </c>
      <c r="C5" s="17" t="inlineStr">
        <is>
          <t>MRL 4</t>
        </is>
      </c>
      <c r="E5" s="17" t="inlineStr">
        <is>
          <t>Custom</t>
        </is>
      </c>
      <c r="H5" s="17" t="inlineStr">
        <is>
          <t>N/A</t>
        </is>
      </c>
      <c r="I5" s="17" t="n">
        <v>4</v>
      </c>
      <c r="J5" s="17" t="inlineStr">
        <is>
          <t>not-applicable</t>
        </is>
      </c>
    </row>
    <row r="6" ht="15" customHeight="1" s="18">
      <c r="B6" s="17" t="inlineStr">
        <is>
          <t>Category B</t>
        </is>
      </c>
      <c r="C6" s="17" t="inlineStr">
        <is>
          <t>MRL 5</t>
        </is>
      </c>
      <c r="I6" s="17" t="n">
        <v>5</v>
      </c>
    </row>
    <row r="7" ht="15" customHeight="1" s="18">
      <c r="B7" s="17" t="inlineStr">
        <is>
          <t>Category C</t>
        </is>
      </c>
    </row>
    <row r="8" ht="15" customHeight="1" s="18">
      <c r="B8" s="17" t="inlineStr">
        <is>
          <t>Category D</t>
        </is>
      </c>
    </row>
    <row r="9" ht="15" customHeight="1" s="18">
      <c r="B9" s="17" t="inlineStr">
        <is>
          <t>Category E</t>
        </is>
      </c>
    </row>
    <row r="10" ht="15" customHeight="1" s="18">
      <c r="B10" s="17" t="inlineStr">
        <is>
          <t>Other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1"/>
  </sheetPr>
  <dimension ref="A1:F13"/>
  <sheetViews>
    <sheetView showFormulas="0" showGridLines="1"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35" customWidth="1" style="17" min="2" max="2"/>
    <col width="40" customWidth="1" style="17" min="3" max="3"/>
    <col width="45" customWidth="1" style="17" min="4" max="4"/>
    <col width="12" customWidth="1" style="17" min="5" max="5"/>
    <col width="20" customWidth="1" style="17" min="6" max="6"/>
  </cols>
  <sheetData>
    <row r="1" ht="30" customHeight="1" s="18">
      <c r="A1" s="19" t="inlineStr">
        <is>
          <t>Model &amp; Data — What you modeled and compared against</t>
        </is>
      </c>
    </row>
    <row r="2" ht="15" customHeight="1" s="18">
      <c r="A2" s="20" t="inlineStr">
        <is>
          <t>Entity Type</t>
        </is>
      </c>
      <c r="B2" s="20" t="inlineStr">
        <is>
          <t>Name</t>
        </is>
      </c>
      <c r="C2" s="20" t="inlineStr">
        <is>
          <t>Identifier / URI</t>
        </is>
      </c>
      <c r="D2" s="20" t="inlineStr">
        <is>
          <t>Description</t>
        </is>
      </c>
      <c r="E2" s="20" t="inlineStr">
        <is>
          <t>Version</t>
        </is>
      </c>
      <c r="F2" s="20" t="inlineStr">
        <is>
          <t>Source</t>
        </is>
      </c>
    </row>
    <row r="3" ht="32.8" customHeight="1" s="18">
      <c r="A3" s="39" t="inlineStr">
        <is>
          <t>Requirement</t>
        </is>
      </c>
      <c r="B3" s="39" t="inlineStr">
        <is>
          <t>Design Down-Selection Performance Requirement</t>
        </is>
      </c>
      <c r="C3" s="22" t="inlineStr">
        <is>
          <t>Stable URI or local ID</t>
        </is>
      </c>
      <c r="D3" s="39" t="inlineStr">
        <is>
          <t>The FEA model must correctly rank-order stem design variants and estimate safety margins (peak stem stress, cortical strain, and interface micromotion) under ISO 7206-4-like loading with numerical and comparison uncertainties small enough to resolve design differences of ~5–10% in the primary QoIs.</t>
        </is>
      </c>
      <c r="E3" s="22" t="inlineStr">
        <is>
          <t>Version number (optional)</t>
        </is>
      </c>
      <c r="F3" s="22" t="inlineStr">
        <is>
          <t>Where this came from (optional)</t>
        </is>
      </c>
    </row>
    <row r="4" ht="15" customHeight="1" s="18">
      <c r="A4" s="41" t="inlineStr">
        <is>
          <t>Model</t>
        </is>
      </c>
      <c r="B4" s="41" t="inlineStr">
        <is>
          <t>Ansys Mechanical 2023 R2 FEA Model — Hip Stem</t>
        </is>
      </c>
      <c r="C4" s="24" t="n"/>
      <c r="D4" s="41" t="inlineStr">
        <is>
          <t>Quasi-static structural FEA model of a Ti-6Al-4V size-6 cementless femoral stem press-fitted into a Sawbones fourth-generation composite femur; includes frictional contact, press-fit interference, and homogenized porous-coating layer; run in Ansys Mechanical 2023 R2 with sparse direct solver and augmented Lagrange contact.</t>
        </is>
      </c>
      <c r="E4" s="33" t="n"/>
      <c r="F4" s="33" t="n"/>
    </row>
    <row r="5" ht="15" customHeight="1" s="18">
      <c r="A5" s="41" t="inlineStr">
        <is>
          <t>Dataset</t>
        </is>
      </c>
      <c r="B5" s="41" t="inlineStr">
        <is>
          <t>Composite Femur Strain-Gauge Benchtop Dataset</t>
        </is>
      </c>
      <c r="C5" s="24" t="n"/>
      <c r="D5" s="41" t="inlineStr">
        <is>
          <t>Strain measurements from six 350-ohm gauges on five nominally identical Sawbones 3403 composite femurs instrumented under two static load cases (Case A: 2300 N; Case B: 3000 N + 20 Nm), with factory-certified gauge calibration and in-situ shunt verification; standard deviation across five repeats ≤ 30 με.</t>
        </is>
      </c>
      <c r="E5" s="33" t="n"/>
      <c r="F5" s="33" t="n"/>
    </row>
    <row r="6" ht="15" customHeight="1" s="18">
      <c r="A6" s="41" t="inlineStr">
        <is>
          <t>Dataset</t>
        </is>
      </c>
      <c r="B6" s="41" t="inlineStr">
        <is>
          <t>Porous Coating and Friction Coefficient Test Data</t>
        </is>
      </c>
      <c r="C6" s="24" t="n"/>
      <c r="D6" s="41" t="inlineStr">
        <is>
          <t>Independent coupon compression tests (n=6) for porous coating homogenized modulus (8.5 GPa) and push-out tests (n=5) for friction coefficient μ=0.42 ± 0.06; used as model inputs without tuning against femur-level validation data.</t>
        </is>
      </c>
      <c r="E6" s="33" t="n"/>
      <c r="F6" s="33" t="n"/>
    </row>
    <row r="7" ht="15" customHeight="1" s="18">
      <c r="A7" s="24" t="n"/>
      <c r="B7" s="24" t="n"/>
      <c r="C7" s="24" t="n"/>
      <c r="D7" s="33" t="n"/>
      <c r="E7" s="33" t="n"/>
      <c r="F7" s="33" t="n"/>
    </row>
    <row r="8" ht="15" customHeight="1" s="18">
      <c r="A8" s="24" t="n"/>
      <c r="B8" s="24" t="n"/>
      <c r="C8" s="24" t="n"/>
      <c r="D8" s="33" t="n"/>
      <c r="E8" s="33" t="n"/>
      <c r="F8" s="33" t="n"/>
    </row>
    <row r="9" ht="15" customHeight="1" s="18">
      <c r="A9" s="24" t="n"/>
      <c r="B9" s="24" t="n"/>
      <c r="C9" s="24" t="n"/>
      <c r="D9" s="33" t="n"/>
      <c r="E9" s="33" t="n"/>
      <c r="F9" s="33" t="n"/>
    </row>
    <row r="10" ht="15" customHeight="1" s="18">
      <c r="A10" s="24" t="n"/>
      <c r="B10" s="24" t="n"/>
      <c r="C10" s="24" t="n"/>
      <c r="D10" s="33" t="n"/>
      <c r="E10" s="33" t="n"/>
      <c r="F10" s="33" t="n"/>
    </row>
    <row r="11" ht="15" customHeight="1" s="18">
      <c r="A11" s="24" t="n"/>
      <c r="B11" s="24" t="n"/>
      <c r="C11" s="24" t="n"/>
      <c r="D11" s="33" t="n"/>
      <c r="E11" s="33" t="n"/>
      <c r="F11" s="33" t="n"/>
    </row>
    <row r="12" ht="15" customHeight="1" s="18">
      <c r="A12" s="24" t="n"/>
      <c r="B12" s="24" t="n"/>
      <c r="C12" s="24" t="n"/>
      <c r="D12" s="33" t="n"/>
      <c r="E12" s="33" t="n"/>
      <c r="F12" s="33" t="n"/>
    </row>
    <row r="13" ht="15" customHeight="1" s="18">
      <c r="A13" s="24" t="n"/>
      <c r="B13" s="24" t="n"/>
      <c r="C13" s="24" t="n"/>
      <c r="D13" s="33" t="n"/>
      <c r="E13" s="33" t="n"/>
      <c r="F13" s="33" t="n"/>
    </row>
  </sheetData>
  <mergeCells count="1">
    <mergeCell ref="A1:F1"/>
  </mergeCells>
  <dataValidations count="1">
    <dataValidation sqref="A4:A13" showDropDown="0" showInputMessage="0" showErrorMessage="0" allowBlank="1" type="list" errorStyle="stop" operator="between">
      <formula1>list_entity_type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5.xml><?xml version="1.0" encoding="utf-8"?>
<worksheet xmlns="http://schemas.openxmlformats.org/spreadsheetml/2006/main">
  <sheetPr filterMode="0">
    <outlinePr summaryBelow="1" summaryRight="1"/>
    <pageSetUpPr fitToPage="1"/>
  </sheetPr>
  <dimension ref="A1:I13"/>
  <sheetViews>
    <sheetView showFormulas="0" showGridLines="1"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5" customWidth="1" style="17" min="1" max="1"/>
    <col width="35" customWidth="1" style="17" min="2" max="2"/>
    <col width="45" customWidth="1" style="17" min="3" max="3"/>
    <col width="35" customWidth="1" style="17" min="4" max="4"/>
    <col width="10" customWidth="1" style="17" min="5" max="5"/>
    <col width="30" customWidth="1" style="17" min="6" max="6"/>
    <col width="18" customWidth="1" style="17" min="7" max="7"/>
    <col width="14" customWidth="1" style="17" min="8" max="8"/>
  </cols>
  <sheetData>
    <row r="1" ht="30" customHeight="1" s="18">
      <c r="A1" s="19" t="inlineStr">
        <is>
          <t>Validation Results — What you found when you tested the model</t>
        </is>
      </c>
    </row>
    <row r="2" ht="15" customHeight="1" s="18">
      <c r="A2" s="20" t="inlineStr">
        <is>
          <t>Result Name</t>
        </is>
      </c>
      <c r="B2" s="20" t="inlineStr">
        <is>
          <t>Identifier / URI</t>
        </is>
      </c>
      <c r="C2" s="20" t="inlineStr">
        <is>
          <t>Description</t>
        </is>
      </c>
      <c r="D2" s="20" t="inlineStr">
        <is>
          <t>Compares To</t>
        </is>
      </c>
      <c r="E2" s="20" t="inlineStr">
        <is>
          <t>Has UQ?</t>
        </is>
      </c>
      <c r="F2" s="20" t="inlineStr">
        <is>
          <t>UQ Method</t>
        </is>
      </c>
      <c r="G2" s="20" t="inlineStr">
        <is>
          <t>Metric Value</t>
        </is>
      </c>
      <c r="H2" s="20" t="inlineStr">
        <is>
          <t>Pass / Fail</t>
        </is>
      </c>
    </row>
    <row r="3" ht="32.8" customHeight="1" s="18">
      <c r="A3" s="39" t="inlineStr">
        <is>
          <t>Cortical Strain Comparison — Case A (2300 N Axial)</t>
        </is>
      </c>
      <c r="B3" s="39" t="inlineStr">
        <is>
          <t>ValidationResult</t>
        </is>
      </c>
      <c r="C3" s="22" t="inlineStr">
        <is>
          <t>What was done, what was found</t>
        </is>
      </c>
      <c r="D3" s="39" t="inlineStr">
        <is>
          <t>FEA-predicted area-averaged cortical strains at five gauge locations compared to mean bench measurements from five composite femur specimens under ISO-like 2300 N axial load at 10° adduction, 9° flexion.</t>
        </is>
      </c>
      <c r="E3" s="39" t="inlineStr">
        <is>
          <t>Benchtop strain-gauge measurements on Sawbones 3403 composite femurs</t>
        </is>
      </c>
      <c r="F3" s="39" t="inlineStr">
        <is>
          <t>Yes</t>
        </is>
      </c>
      <c r="G3" s="39" t="inlineStr">
        <is>
          <t>Standard error propagation combining model uncertainty and gauge measurement error; 95% prediction interval</t>
        </is>
      </c>
      <c r="H3" s="39" t="inlineStr">
        <is>
          <t>MAPD 6.8%; NRMSE 8.9%; 95% PI enveloped 83% of observed gauge means; all gauge signs matched</t>
        </is>
      </c>
      <c r="I3" s="42" t="inlineStr">
        <is>
          <t>Pass</t>
        </is>
      </c>
    </row>
    <row r="4" ht="15" customHeight="1" s="18">
      <c r="A4" s="41" t="inlineStr">
        <is>
          <t>Cortical Strain Comparison — Case B (3000 N + 20 Nm)</t>
        </is>
      </c>
      <c r="B4" s="41" t="inlineStr">
        <is>
          <t>ValidationResult</t>
        </is>
      </c>
      <c r="C4" s="33" t="n"/>
      <c r="D4" s="41" t="inlineStr">
        <is>
          <t>FEA-predicted cortical strains at five gauge locations compared to bench measurements under combined 3000 N axial and 20 Nm internal rotation moment load case.</t>
        </is>
      </c>
      <c r="E4" s="41" t="inlineStr">
        <is>
          <t>Benchtop strain-gauge measurements on Sawbones 3403 composite femurs</t>
        </is>
      </c>
      <c r="F4" s="41" t="inlineStr">
        <is>
          <t>Yes</t>
        </is>
      </c>
      <c r="G4" s="41" t="inlineStr">
        <is>
          <t>Standard error propagation; 95% prediction interval from surrogate-based UQ</t>
        </is>
      </c>
      <c r="H4" s="41" t="inlineStr">
        <is>
          <t>MAPD 9.7%; NRMSE 11.8%</t>
        </is>
      </c>
      <c r="I4" s="42" t="inlineStr">
        <is>
          <t>Pass</t>
        </is>
      </c>
    </row>
    <row r="5" ht="15" customHeight="1" s="18">
      <c r="A5" s="41" t="inlineStr">
        <is>
          <t>Mesh Convergence and Discretization Error Study</t>
        </is>
      </c>
      <c r="B5" s="41" t="inlineStr">
        <is>
          <t>ValidationResult</t>
        </is>
      </c>
      <c r="C5" s="33" t="n"/>
      <c r="D5" s="41" t="inlineStr">
        <is>
          <t>Three systematically refined meshes (h, h/√2, h/2) assessed for peak stem stress, max principal cortical strain, and micromotion amplitude; Richardson extrapolation used to estimate remaining discretization error; observed convergence order ~1.9–2.1.</t>
        </is>
      </c>
      <c r="E5" s="41" t="inlineStr">
        <is>
          <t>Richardson extrapolation grid-independent estimates</t>
        </is>
      </c>
      <c r="F5" s="41" t="inlineStr">
        <is>
          <t>Yes</t>
        </is>
      </c>
      <c r="G5" s="41" t="inlineStr">
        <is>
          <t>Richardson extrapolation; discretization uncertainty propagated additively into overall UQ</t>
        </is>
      </c>
      <c r="H5" s="41" t="inlineStr">
        <is>
          <t>Peak stem stress residual 2.1%; cortical strain residual 3.4%; micromotion residual 5.6%</t>
        </is>
      </c>
      <c r="I5" s="42" t="inlineStr">
        <is>
          <t>Pass</t>
        </is>
      </c>
    </row>
    <row r="6" ht="15" customHeight="1" s="18">
      <c r="A6" s="41" t="inlineStr">
        <is>
          <t>Solver Correctness Benchmarks (Patch Test and Analytical Solutions)</t>
        </is>
      </c>
      <c r="B6" s="41" t="inlineStr">
        <is>
          <t>ValidationResult</t>
        </is>
      </c>
      <c r="C6" s="33" t="n"/>
      <c r="D6" s="41" t="inlineStr">
        <is>
          <t>Element formulations verified via constant-strain patch test; tip deflection and fixed-end stress of cantilever beam; radial stress field in thick-walled cylinder (Lamé); peak contact pressure and patch width in Hertzian line contact problem.</t>
        </is>
      </c>
      <c r="E6" s="41" t="inlineStr">
        <is>
          <t>Analytical solutions (Timoshenko beam, Lamé cylinder, Hertz contact)</t>
        </is>
      </c>
      <c r="F6" s="41" t="inlineStr">
        <is>
          <t>No</t>
        </is>
      </c>
      <c r="G6" s="33" t="n"/>
      <c r="H6" s="41" t="inlineStr">
        <is>
          <t>Cantilever tip deflection error 0.6%; fixed-end stress error 1.4%; Lamé L2 error &lt;0.8%; Hertz peak pressure within 3.2%; patch width within 2.5%</t>
        </is>
      </c>
      <c r="I6" s="42" t="inlineStr">
        <is>
          <t>Pass</t>
        </is>
      </c>
    </row>
    <row r="7" ht="15" customHeight="1" s="18">
      <c r="A7" s="41" t="inlineStr">
        <is>
          <t>Global Sensitivity and Uncertainty Propagation</t>
        </is>
      </c>
      <c r="B7" s="41" t="inlineStr">
        <is>
          <t>ValidationResult</t>
        </is>
      </c>
      <c r="C7" s="33" t="n"/>
      <c r="D7" s="41" t="inlineStr">
        <is>
          <t>Latin hypercube sampling (200 samples) with kriging surrogate trained on 60 high-fidelity FE runs; Sobol first-order indices computed for seven input parameters; 95% uncertainty intervals propagated for all three QoIs.</t>
        </is>
      </c>
      <c r="E7" s="41" t="inlineStr">
        <is>
          <t>Kriging surrogate cross-validated RMSE &lt;3% for QoIs</t>
        </is>
      </c>
      <c r="F7" s="41" t="inlineStr">
        <is>
          <t>Yes</t>
        </is>
      </c>
      <c r="G7" s="41" t="inlineStr">
        <is>
          <t>Sobol sensitivity indices via kriging surrogate; Latin hypercube sampling</t>
        </is>
      </c>
      <c r="H7" s="41" t="inlineStr">
        <is>
          <t>Cortical strain 95% interval ±9.1%; peak stem stress ±6.4%; micromotion ±14.3%; surrogate cross-validated RMSE &lt;3%</t>
        </is>
      </c>
      <c r="I7" s="42" t="inlineStr">
        <is>
          <t>Pass</t>
        </is>
      </c>
    </row>
    <row r="8" ht="15" customHeight="1" s="18">
      <c r="A8" s="24" t="n"/>
      <c r="B8" s="24" t="n"/>
      <c r="C8" s="33" t="n"/>
      <c r="D8" s="33" t="n"/>
      <c r="E8" s="25" t="n"/>
      <c r="F8" s="33" t="n"/>
      <c r="G8" s="33" t="n"/>
      <c r="H8" s="33" t="n"/>
    </row>
    <row r="9" ht="15" customHeight="1" s="18">
      <c r="A9" s="24" t="n"/>
      <c r="B9" s="24" t="n"/>
      <c r="C9" s="33" t="n"/>
      <c r="D9" s="33" t="n"/>
      <c r="E9" s="25" t="n"/>
      <c r="F9" s="33" t="n"/>
      <c r="G9" s="33" t="n"/>
      <c r="H9" s="33" t="n"/>
    </row>
    <row r="10" ht="15" customHeight="1" s="18">
      <c r="A10" s="24" t="n"/>
      <c r="B10" s="24" t="n"/>
      <c r="C10" s="33" t="n"/>
      <c r="D10" s="33" t="n"/>
      <c r="E10" s="25" t="n"/>
      <c r="F10" s="33" t="n"/>
      <c r="G10" s="33" t="n"/>
      <c r="H10" s="33" t="n"/>
    </row>
    <row r="11" ht="15" customHeight="1" s="18">
      <c r="A11" s="24" t="n"/>
      <c r="B11" s="24" t="n"/>
      <c r="C11" s="33" t="n"/>
      <c r="D11" s="33" t="n"/>
      <c r="E11" s="25" t="n"/>
      <c r="F11" s="33" t="n"/>
      <c r="G11" s="33" t="n"/>
      <c r="H11" s="33" t="n"/>
    </row>
    <row r="12" ht="15" customHeight="1" s="18">
      <c r="A12" s="24" t="n"/>
      <c r="B12" s="24" t="n"/>
      <c r="C12" s="33" t="n"/>
      <c r="D12" s="33" t="n"/>
      <c r="E12" s="25" t="n"/>
      <c r="F12" s="33" t="n"/>
      <c r="G12" s="33" t="n"/>
      <c r="H12" s="33" t="n"/>
    </row>
    <row r="13" ht="15" customHeight="1" s="18">
      <c r="A13" s="24" t="n"/>
      <c r="B13" s="24" t="n"/>
      <c r="C13" s="33" t="n"/>
      <c r="D13" s="33" t="n"/>
      <c r="E13" s="25" t="n"/>
      <c r="F13" s="33" t="n"/>
      <c r="G13" s="33" t="n"/>
      <c r="H13" s="33" t="n"/>
    </row>
  </sheetData>
  <mergeCells count="1">
    <mergeCell ref="A1:H1"/>
  </mergeCells>
  <dataValidations count="2">
    <dataValidation sqref="E4:E13" showDropDown="0" showInputMessage="0" showErrorMessage="0" allowBlank="1" type="list" errorStyle="stop" operator="between">
      <formula1>list_has_uq</formula1>
      <formula2>0</formula2>
    </dataValidation>
    <dataValidation sqref="H4:H13" showDropDown="0" showInputMessage="0" showErrorMessage="0" allowBlank="1" type="list" errorStyle="stop" operator="between">
      <formula1>list_pass_fail</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6.xml><?xml version="1.0" encoding="utf-8"?>
<worksheet xmlns="http://schemas.openxmlformats.org/spreadsheetml/2006/main">
  <sheetPr filterMode="0">
    <outlinePr summaryBelow="1" summaryRight="1"/>
    <pageSetUpPr fitToPage="1"/>
  </sheetPr>
  <dimension ref="A1:H17"/>
  <sheetViews>
    <sheetView showFormulas="0" showGridLines="1" showRowColHeaders="1" showZeros="1" rightToLeft="0" tabSelected="0" showOutlineSymbols="1" defaultGridColor="1"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42" customWidth="1" style="17" min="1" max="1"/>
    <col width="25" customWidth="1" style="17" min="2" max="2"/>
    <col width="16" customWidth="1" style="17" min="3" max="4"/>
    <col width="40" customWidth="1" style="17" min="5" max="5"/>
    <col width="12" customWidth="1" style="17" min="6" max="6"/>
    <col width="22" customWidth="1" style="18" min="8" max="8"/>
  </cols>
  <sheetData>
    <row r="1" ht="30" customHeight="1" s="18">
      <c r="A1" s="19" t="inlineStr">
        <is>
          <t>Credibility Factors — V&amp;V 40 Table 5-1 Assessment</t>
        </is>
      </c>
    </row>
    <row r="2" ht="30" customHeight="1" s="18">
      <c r="A2" s="34" t="inlineStr">
        <is>
          <t>Complete profile only. Assess each relevant factor: set Required Level (goal given model risk) and Achieved Level (what evidence supports).</t>
        </is>
      </c>
    </row>
    <row r="3" ht="15" customHeight="1" s="18">
      <c r="A3" s="20" t="inlineStr">
        <is>
          <t>Factor Type</t>
        </is>
      </c>
      <c r="B3" s="20" t="inlineStr">
        <is>
          <t>Category</t>
        </is>
      </c>
      <c r="C3" s="20" t="inlineStr">
        <is>
          <t>Required Level</t>
        </is>
      </c>
      <c r="D3" s="20" t="inlineStr">
        <is>
          <t>Achieved Level</t>
        </is>
      </c>
      <c r="E3" s="21" t="inlineStr">
        <is>
          <t>Acceptance Criteria</t>
        </is>
      </c>
      <c r="F3" s="20" t="inlineStr">
        <is>
          <t>Rationale</t>
        </is>
      </c>
      <c r="G3" s="20" t="inlineStr">
        <is>
          <t>Factor Status</t>
        </is>
      </c>
      <c r="H3" s="37" t="inlineStr">
        <is>
          <t>Linked Evidence</t>
        </is>
      </c>
    </row>
    <row r="4" ht="22.35" customHeight="1" s="18">
      <c r="A4" s="22" t="inlineStr">
        <is>
          <t>V&amp;V 40 factor (pre-filled, do not edit)</t>
        </is>
      </c>
      <c r="B4" s="22" t="inlineStr">
        <is>
          <t>Grouping (pre-filled)</t>
        </is>
      </c>
      <c r="C4" s="22" t="inlineStr">
        <is>
          <t>Credibility goal for this factor (1-5)</t>
        </is>
      </c>
      <c r="D4" s="22" t="inlineStr">
        <is>
          <t>Level achieved by evidence (1-5)</t>
        </is>
      </c>
      <c r="E4" s="23" t="inlineStr">
        <is>
          <t>Goal and basis for the required level (from V&amp;V 40 Tables 3-4)</t>
        </is>
      </c>
      <c r="F4" s="22" t="inlineStr">
        <is>
          <t>Brief justification (esp. if achieved &lt; required)</t>
        </is>
      </c>
      <c r="G4" s="22" t="inlineStr">
        <is>
          <t>assessed / not-assessed / scoped-out / not-applicable</t>
        </is>
      </c>
      <c r="H4" s="38" t="inlineStr">
        <is>
          <t>URI of validation result that supports this factor (optional)</t>
        </is>
      </c>
    </row>
    <row r="5" ht="15" customHeight="1" s="18">
      <c r="A5" s="35" t="inlineStr">
        <is>
          <t>Software quality assurance</t>
        </is>
      </c>
      <c r="B5" s="36" t="inlineStr">
        <is>
          <t>Verification — Code</t>
        </is>
      </c>
      <c r="C5" s="41" t="n">
        <v>3</v>
      </c>
      <c r="D5" s="41" t="n">
        <v>4</v>
      </c>
      <c r="E5" s="42" t="inlineStr">
        <is>
          <t>Simulation software must be commercially maintained and verified to produce reliable results for the governing physics.</t>
        </is>
      </c>
      <c r="F5" s="41" t="inlineStr">
        <is>
          <t>Ansys Mechanical 2023 R2 is a validated commercial solver. An internal benchmark suite of 12 elasticity problems was executed upon environment update prior to study start (Appendix A1). Three independent reruns of the baseline case produced identical results to within 0.2%, demonstrating deterministic reproducibility. All scripts and model files are version-controlled in GitLab (HSTEM-FEA, tag v1.8) with archived run manifests including software versions, solver options, and checksums. Platform is a controlled Windows Server 2019 environment.</t>
        </is>
      </c>
      <c r="G5" s="41" t="inlineStr">
        <is>
          <t>assessed</t>
        </is>
      </c>
    </row>
    <row r="6" ht="15" customHeight="1" s="18">
      <c r="A6" s="36" t="inlineStr">
        <is>
          <t>Numerical code verification</t>
        </is>
      </c>
      <c r="B6" s="36" t="inlineStr">
        <is>
          <t>Verification — Code</t>
        </is>
      </c>
      <c r="C6" s="41" t="n">
        <v>3</v>
      </c>
      <c r="D6" s="41" t="n">
        <v>4</v>
      </c>
      <c r="E6" s="42" t="inlineStr">
        <is>
          <t>Element formulations and contact algorithms must be shown to correctly solve the governing equations for the relevant physics class.</t>
        </is>
      </c>
      <c r="F6" s="41" t="inlineStr">
        <is>
          <t>Four analytical/benchmark problems directly relevant to the model physics were executed: (1) constant-strain patch test for hex and tet elements passing to machine tolerance; (2) cantilever beam tip deflection within 0.6% and fixed-end stress within 1.4% of Timoshenko beam theory; (3) thick-walled cylinder Lamé radial stress field with L2 error &lt;0.8%; (4) Hertzian line contact peak pressure within 3.2% and patch width within 2.5% using the augmented Lagrange contact algorithm employed in the study. These benchmarks cover all primary element types and the contact enforcement method used.</t>
        </is>
      </c>
      <c r="G6" s="41" t="inlineStr">
        <is>
          <t>assessed</t>
        </is>
      </c>
    </row>
    <row r="7" ht="15" customHeight="1" s="18">
      <c r="A7" s="35" t="inlineStr">
        <is>
          <t>Discretization error</t>
        </is>
      </c>
      <c r="B7" s="36" t="inlineStr">
        <is>
          <t>Verification — Calculation</t>
        </is>
      </c>
      <c r="C7" s="41" t="n">
        <v>3</v>
      </c>
      <c r="D7" s="41" t="n">
        <v>4</v>
      </c>
      <c r="E7" s="42" t="inlineStr">
        <is>
          <t>Discretization error in primary QoIs must be characterized and shown to be small relative to design differences being resolved (~5–10%).</t>
        </is>
      </c>
      <c r="F7" s="41" t="inlineStr">
        <is>
          <t>A formal three-level mesh refinement study (h, h/√2, h/2) was performed on all three QoIs. Monotonic convergence was observed with estimated order of accuracy ~1.9–2.1, consistent with quadratic tet elements. Richardson extrapolation yielded residual discretization errors of 2.1% (peak stem stress), 3.4% (cortical strain), and 5.6% (micromotion) for the baseline mesh. These values are explicitly propagated as additive variance into the overall uncertainty budget (Section 8.2). The micromotion discretization error (5.6%) is the largest but remains within the 14.3% combined 95% interval.</t>
        </is>
      </c>
      <c r="G7" s="41" t="inlineStr">
        <is>
          <t>assessed</t>
        </is>
      </c>
    </row>
    <row r="8" ht="15" customHeight="1" s="18">
      <c r="A8" s="36" t="inlineStr">
        <is>
          <t>Numerical solver error</t>
        </is>
      </c>
      <c r="B8" s="36" t="inlineStr">
        <is>
          <t>Verification — Calculation</t>
        </is>
      </c>
      <c r="C8" s="41" t="n">
        <v>3</v>
      </c>
      <c r="D8" s="41" t="n">
        <v>4</v>
      </c>
      <c r="E8" s="42" t="inlineStr">
        <is>
          <t>Iterative solver convergence must be confirmed; residuals must meet targets; contact must not exhibit numerical instability.</t>
        </is>
      </c>
      <c r="F8" s="41" t="inlineStr">
        <is>
          <t>Force residual target 1e-4 and displacement change target 1e-6 m were applied. Contact penetration target was &lt;2 μm at closure with 25 maximum equilibrium iterations per substep and automatic substepping. Contact status was monotonic after the first two substeps with no chattering reported. Energy balance (external work minus internal strain energy vs. reaction work) was verified to within 0.5%. Reruns under stricter tolerances changed all outputs by less than 0.3%, confirming solver convergence is not a significant error source.</t>
        </is>
      </c>
      <c r="G8" s="41" t="inlineStr">
        <is>
          <t>assessed</t>
        </is>
      </c>
    </row>
    <row r="9" ht="15" customHeight="1" s="18">
      <c r="A9" s="36" t="inlineStr">
        <is>
          <t>Use error</t>
        </is>
      </c>
      <c r="B9" s="36" t="inlineStr">
        <is>
          <t>Verification — Calculation</t>
        </is>
      </c>
      <c r="C9" s="41" t="n">
        <v>3</v>
      </c>
      <c r="D9" s="41" t="n">
        <v>4</v>
      </c>
      <c r="E9" s="42" t="inlineStr">
        <is>
          <t>Model setup (boundary conditions, load application, geometry, material assignment) must be independently reviewed and verified against the analysis plan.</t>
        </is>
      </c>
      <c r="F9" s="41" t="inlineStr">
        <is>
          <t>Model development followed a written analysis plan (ADP-ORTHO-022, rev B). A separate analyst performed an independent peer review of the mesh, contact definitions, and load mapping; 14 review comments were raised and all closed in the issue tracker. An external biomechanics SME conducted a 2-hour review of validation methodology and comparator appropriateness with no critical deficiencies identified. A virtual gauge-area mapping approach (Appendix A2) was used to verify FE-to-experiment location alignment. Boundary condition consistency was confirmed by checking that reaction moments match lab fixtures.</t>
        </is>
      </c>
      <c r="G9" s="41" t="inlineStr">
        <is>
          <t>assessed</t>
        </is>
      </c>
    </row>
    <row r="10" ht="15" customHeight="1" s="18">
      <c r="A10" s="35" t="inlineStr">
        <is>
          <t>Model form</t>
        </is>
      </c>
      <c r="B10" s="36" t="inlineStr">
        <is>
          <t>Validation — Model</t>
        </is>
      </c>
      <c r="C10" s="41" t="n">
        <v>3</v>
      </c>
      <c r="D10" s="41" t="n">
        <v>3</v>
      </c>
      <c r="E10" s="42" t="inlineStr">
        <is>
          <t>The mathematical model form (governing equations, contact representation, material assumptions) must be justified for the COU physics regime.</t>
        </is>
      </c>
      <c r="F10" s="41" t="inlineStr">
        <is>
          <t>Quasi-static structural mechanics with frictional contact and press-fit interference is justified for the load levels considered (no plasticity observed in bench tests; small-strain assumption validated by measurements). Geometric nonlinearity is limited to contact closure, which is appropriate. The porous coating homogenization is supported by coupon-level compression tests. Composite femur orthotropic layup is represented as transversely isotropic, consistent with published vendor data. Known limitations (no fatigue, no bone remodeling, no time-dependent phenomena) are explicitly documented. The model does not cover anatomical variability or extreme activities.</t>
        </is>
      </c>
      <c r="G10" s="41" t="inlineStr">
        <is>
          <t>assessed</t>
        </is>
      </c>
    </row>
    <row r="11" ht="15" customHeight="1" s="18">
      <c r="A11" s="36" t="inlineStr">
        <is>
          <t>Model inputs</t>
        </is>
      </c>
      <c r="B11" s="36" t="inlineStr">
        <is>
          <t>Validation — Model</t>
        </is>
      </c>
      <c r="C11" s="41" t="n">
        <v>3</v>
      </c>
      <c r="D11" s="41" t="n">
        <v>4</v>
      </c>
      <c r="E11" s="42" t="inlineStr">
        <is>
          <t>Key material properties and boundary condition inputs must be traceable to measurements or standards, with uncertainty characterized for dominant inputs.</t>
        </is>
      </c>
      <c r="F11" s="41" t="inlineStr">
        <is>
          <t>Ti-6Al-4V properties (E=110 GPa, ν=0.34) are sourced from ASTM F136 and internal QA coupons. Composite femur orthotropic properties come from the vendor datasheet and were independently verified by ultrasonic C-scan (Appendix A3). Porous coating modulus (8.5 GPa) was derived from n=6 coupon compression tests without tuning against femur-level data. Friction coefficient (μ=0.42 ± 0.06) was measured via n=5 push-out tests on coated plugs. Press-fit interference (50 μm) is traceable to reamer and stem gauge dimensions with ±10 μm tolerance. Load angles and seating depth reflect fixture capabilities. Sobol sensitivity analysis identified the dominant inputs, and uncertainty ranges were formally propagated.</t>
        </is>
      </c>
      <c r="G11" s="41" t="inlineStr">
        <is>
          <t>assessed</t>
        </is>
      </c>
    </row>
    <row r="12" ht="15" customHeight="1" s="18">
      <c r="A12" s="35" t="inlineStr">
        <is>
          <t>Test samples</t>
        </is>
      </c>
      <c r="B12" s="36" t="inlineStr">
        <is>
          <t>Validation — Comparator</t>
        </is>
      </c>
      <c r="C12" s="41" t="n">
        <v>3</v>
      </c>
      <c r="D12" s="41" t="n">
        <v>3</v>
      </c>
      <c r="E12" s="42" t="inlineStr">
        <is>
          <t>Experimental test articles must be sufficiently characterized and representative of the modeled structure.</t>
        </is>
      </c>
      <c r="F12" s="41" t="inlineStr">
        <is>
          <t>Five nominally identical Sawbones 3403 fourth-generation composite femurs were used. Seating depth was controlled within 0.5 mm of the FE geometry; one specimen was micro-CT verified for seating consistency. The composite femur orthotropic layup is known, repeatable, and published by the vendor. Sample size of n=5 enables basic repeatability assessment; strain repeatability SD ≤ 30 με at peak strains of 600–800 με. The composite bone analog is acknowledged as not being human bone; cadaver validation is planned for future phases. The sample population does not cover anatomical variability.</t>
        </is>
      </c>
      <c r="G12" s="41" t="inlineStr">
        <is>
          <t>assessed</t>
        </is>
      </c>
    </row>
    <row r="13" ht="15" customHeight="1" s="18">
      <c r="A13" s="36" t="inlineStr">
        <is>
          <t>Test conditions</t>
        </is>
      </c>
      <c r="B13" s="36" t="inlineStr">
        <is>
          <t>Validation — Comparator</t>
        </is>
      </c>
      <c r="C13" s="41" t="n">
        <v>3</v>
      </c>
      <c r="D13" s="41" t="n">
        <v>4</v>
      </c>
      <c r="E13" s="42" t="inlineStr">
        <is>
          <t>Test conditions must be controlled and instrumented with calibrated equipment and documented measurement uncertainty.</t>
        </is>
      </c>
      <c r="F13" s="41" t="inlineStr">
        <is>
          <t>Tests conducted at 21°C, dry; environment was controlled. Load application followed ISO 7206-4 line-of-action guidance (10° adduction, 9° flexion). Crosshead load cell calibrated to 0.5% FS; ancillary torque cell to 1% FS. Six 350-ohm strain gauges (3.2 mm grid) factory certified with in-situ shunt calibration verifying drift &lt;0.4% FS; placement tolerance ±1 mm, orientation ±2°. Two rosettes at stem shoulder used qualitatively. Strain measurement repeatability SD ≤ 30 με across five repeats per load. Distal potting controlled to 70 mm embedment in an aluminum cup with epoxy.</t>
        </is>
      </c>
      <c r="G13" s="41" t="inlineStr">
        <is>
          <t>assessed</t>
        </is>
      </c>
    </row>
    <row r="14" ht="15" customHeight="1" s="18">
      <c r="A14" s="35" t="inlineStr">
        <is>
          <t>Equivalency of input parameters</t>
        </is>
      </c>
      <c r="B14" s="36" t="inlineStr">
        <is>
          <t>Validation — Assessment</t>
        </is>
      </c>
      <c r="C14" s="41" t="n">
        <v>3</v>
      </c>
      <c r="D14" s="41" t="n">
        <v>4</v>
      </c>
      <c r="E14" s="42" t="inlineStr">
        <is>
          <t>Model input parameters must demonstrably match experimental test conditions, with discrepancies identified and their effects quantified.</t>
        </is>
      </c>
      <c r="F14" s="41" t="inlineStr">
        <is>
          <t>Load vectors (magnitude, direction, application point) were matched to lab coordinate frames; rigid link replicating neck adaptor stiffness (100 kN/mm) was included with sensitivity analysis confirming negligible effect. Potting boundary conditions replicated distal 70 mm embedment with fixed-DOF rigid socket. Gauge locations in FE were taken as area-averaged over the 3.2 × 3.2 mm patch projected along the gauge orientation, matching physical gauge size and alignment (Appendix A2). Seating depth and anteversion matched to fixture geometry. Measurement uncertainty from gauge calibration and placement tolerance was included in combined uncertainty propagation. Key model inputs (μ, coating modulus) have characterized uncertainties propagated through the comparison.</t>
        </is>
      </c>
      <c r="G14" s="41" t="inlineStr">
        <is>
          <t>assessed</t>
        </is>
      </c>
    </row>
    <row r="15" ht="15" customHeight="1" s="18">
      <c r="A15" s="36" t="inlineStr">
        <is>
          <t>Output comparison</t>
        </is>
      </c>
      <c r="B15" s="36" t="inlineStr">
        <is>
          <t>Validation — Assessment</t>
        </is>
      </c>
      <c r="C15" s="41" t="n">
        <v>3</v>
      </c>
      <c r="D15" s="41" t="n">
        <v>4</v>
      </c>
      <c r="E15" s="42" t="inlineStr">
        <is>
          <t>Quantitative comparison of model predictions to experimental measurements must demonstrate acceptable agreement with uncertainty quantification.</t>
        </is>
      </c>
      <c r="F15" s="41" t="inlineStr">
        <is>
          <t>Case A: MAPD 6.8% and NRMSE 8.9% across five cortical gauge locations; all gauge signs matched. Case B: MAPD 9.7% and NRMSE 11.8%. Combined model and measurement 95% prediction interval enveloped 83% of observed gauge means across specimens. Stem shoulder rosette principal directions agreed within 7° and magnitudes within 12% (qualitative comparison only due to geometry difference). Uncertainty was computed via standard error propagation combining model UQ (Section 8.2) and measurement error. Two load cases provide comparison at two points in the load envelope. Comparison methodology, including virtual gauge mapping, is fully documented.</t>
        </is>
      </c>
      <c r="G15" s="41" t="inlineStr">
        <is>
          <t>assessed</t>
        </is>
      </c>
    </row>
    <row r="16" ht="15" customHeight="1" s="18">
      <c r="A16" s="35" t="inlineStr">
        <is>
          <t>Relevance of the quantities of interest</t>
        </is>
      </c>
      <c r="B16" s="36" t="inlineStr">
        <is>
          <t>Applicability</t>
        </is>
      </c>
      <c r="C16" s="41" t="n">
        <v>3</v>
      </c>
      <c r="D16" s="41" t="n">
        <v>4</v>
      </c>
      <c r="E16" s="42" t="inlineStr">
        <is>
          <t>The model QoIs must directly correspond to the design decision criteria and must be measurable both computationally and experimentally.</t>
        </is>
      </c>
      <c r="F16" s="41" t="inlineStr">
        <is>
          <t>The three primary QoIs (peak von Mises stem stress at neck/shoulder fillets, max principal cortical strain near Gruen zones 1 and 7, and relative interface micromotion) directly map to the design down-selection criteria: structural integrity margin, peri-prosthetic bone loading, and osseointegration risk indicator. Cortical strain and stem stress are measurable experimentally via strain gauges (and rosettes) and in the FE model using matched area-averaging. Micromotion is computed in the FE model and is the target of interest for porous-coating fixation decisions. The outputs also directly guide gauge placement for the subsequent bench test program. QoIs are directly referenced in the decision outcome summary (Section 12).</t>
        </is>
      </c>
      <c r="G16" s="41" t="inlineStr">
        <is>
          <t>assessed</t>
        </is>
      </c>
    </row>
    <row r="17" ht="15" customHeight="1" s="18">
      <c r="A17" s="36" t="inlineStr">
        <is>
          <t>Relevance of the validation activities to the COU</t>
        </is>
      </c>
      <c r="B17" s="36" t="inlineStr">
        <is>
          <t>Applicability</t>
        </is>
      </c>
      <c r="C17" s="41" t="n">
        <v>3</v>
      </c>
      <c r="D17" s="41" t="n">
        <v>3</v>
      </c>
      <c r="E17" s="42" t="inlineStr">
        <is>
          <t>Validation conditions must match or adequately represent the intended operating conditions, geometry, and physics regime of the COU.</t>
        </is>
      </c>
      <c r="F17" s="41" t="inlineStr">
        <is>
          <t>Validation was performed using the same stem geometry, composite femur analog, loading protocol (ISO 7206-4 line-of-action), and load magnitudes (2.3–3.0 kN, up to 20 Nm torsion) as the intended COU. The validated load envelope directly covers the design evaluation conditions. Extrapolation warnings are embedded in post-processing scripts for loads outside the validated window. Acknowledged gaps: (1) only the composite bone analog, not cadaveric human bone, was used; (2) only one stem size and neck option were validated; (3) activities above 3.0 kN or beyond 20 Nm torsion are explicitly flagged as outside the validated regime. A maturation roadmap for extended use cases is provided (Appendix A4). These gaps are appropriate given the stated COU but limit the factor to level 3.</t>
        </is>
      </c>
      <c r="G17" s="41" t="inlineStr">
        <is>
          <t>assessed</t>
        </is>
      </c>
    </row>
  </sheetData>
  <mergeCells count="2">
    <mergeCell ref="A2:F2"/>
    <mergeCell ref="A1:F1"/>
  </mergeCells>
  <dataValidations count="2">
    <dataValidation sqref="C5:D17" showDropDown="0" showInputMessage="0" showErrorMessage="0" allowBlank="1" type="list" errorStyle="stop" operator="between">
      <formula1>list_factor_level</formula1>
      <formula2>0</formula2>
    </dataValidation>
    <dataValidation sqref="F5:F17" showDropDown="0" showInputMessage="0" showErrorMessage="0" allowBlank="1" type="list" errorStyle="stop" operator="between">
      <formula1>list_assessed</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7.xml><?xml version="1.0" encoding="utf-8"?>
<worksheet xmlns="http://schemas.openxmlformats.org/spreadsheetml/2006/main">
  <sheetPr filterMode="0">
    <outlinePr summaryBelow="1" summaryRight="1"/>
    <pageSetUpPr fitToPage="1"/>
  </sheetPr>
  <dimension ref="A1:E4"/>
  <sheetViews>
    <sheetView showFormulas="0" showGridLines="1"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0" customWidth="1" style="17" min="1" max="1"/>
    <col width="60" customWidth="1" style="17" min="2" max="2"/>
    <col width="22" customWidth="1" style="17" min="3" max="3"/>
    <col width="25" customWidth="1" style="17" min="4" max="4"/>
    <col width="16" customWidth="1" style="17" min="5" max="5"/>
  </cols>
  <sheetData>
    <row r="1" ht="30" customHeight="1" s="18">
      <c r="A1" s="19" t="inlineStr">
        <is>
          <t>Decision — The credibility judgment</t>
        </is>
      </c>
    </row>
    <row r="2" ht="15" customHeight="1" s="18">
      <c r="A2" s="20" t="inlineStr">
        <is>
          <t>Decision Outcome</t>
        </is>
      </c>
      <c r="B2" s="20" t="inlineStr">
        <is>
          <t>Decision Rationale</t>
        </is>
      </c>
      <c r="C2" s="20" t="inlineStr">
        <is>
          <t>Criteria Set</t>
        </is>
      </c>
      <c r="D2" s="20" t="inlineStr">
        <is>
          <t>Decided By</t>
        </is>
      </c>
      <c r="E2" s="20" t="inlineStr">
        <is>
          <t>Decision Date</t>
        </is>
      </c>
    </row>
    <row r="3" ht="22.35" customHeight="1" s="18">
      <c r="A3" s="39" t="inlineStr">
        <is>
          <t>Accepted</t>
        </is>
      </c>
      <c r="B3" s="39" t="inlineStr">
        <is>
          <t>For the bounded COU of design variant down-selection and bench-test instrumentation planning under ISO 7206-4-like static loads, all 13 credibility factors meet or exceed their required levels. Numerical discretization errors are small relative to design differences (2.1–5.6%); solver correctness is demonstrated against analytical benchmarks; key inputs are traceable to independent tests with quantified uncertainty; global sensitivity analysis identifies dominant parameters; and quantitative comparison to benchtop strain measurements shows MAPD of 6.8–9.7% with matched signs and trends, with a 95% prediction interval enveloping 83% of observed data. Independent peer review and SME review are documented and closed. The model is accepted for the stated COU with the following conditions: (1) use is restricted to the validated load envelope (2.3–3.0 kN resultant, ≤ 20 Nm torsion); (2) applicability is limited to the composite femur analog and stem sizes 5–7; (3) the model must not be used for per-patient risk assessment, fatigue life prediction, or extreme-activity analysis without additional evidence per the maturation roadmap in Appendix A4.</t>
        </is>
      </c>
      <c r="C3" s="22" t="inlineStr">
        <is>
          <t>Auto-filled from Assessment Summary</t>
        </is>
      </c>
      <c r="D3" s="22" t="n"/>
      <c r="E3" s="22" t="n"/>
    </row>
    <row r="4" ht="15" customHeight="1" s="18">
      <c r="A4" s="24" t="n"/>
      <c r="B4" s="24" t="n"/>
      <c r="C4" s="25">
        <f>'Assessment Summary'!H4</f>
        <v/>
      </c>
      <c r="D4" s="25" t="n"/>
      <c r="E4" s="33" t="n"/>
    </row>
  </sheetData>
  <mergeCells count="1">
    <mergeCell ref="A1:E1"/>
  </mergeCells>
  <dataValidations count="1">
    <dataValidation sqref="A4" showDropDown="0" showInputMessage="0" showErrorMessage="0" allowBlank="0" error="Select Accepted, Not accepted, or Conditional" type="list" errorStyle="stop" operator="between">
      <formula1>list_decision</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2026-03-31T17:48:36Z</dcterms:created>
  <dcterms:modified xmlns:dcterms="http://purl.org/dc/terms/" xmlns:xsi="http://www.w3.org/2001/XMLSchema-instance" xsi:type="dcterms:W3CDTF">2026-08-06T08:09:37Z</dcterms:modified>
  <cp:revision>0</cp:revision>
</cp:coreProperties>
</file>