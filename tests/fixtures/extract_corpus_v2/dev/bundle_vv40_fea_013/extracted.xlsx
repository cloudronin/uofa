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Assessment Summary" sheetId="1" state="visible" r:id="rId1"/>
    <sheet xmlns:r="http://schemas.openxmlformats.org/officeDocument/2006/relationships" name="Instructions" sheetId="2" state="visible" r:id="rId2"/>
    <sheet xmlns:r="http://schemas.openxmlformats.org/officeDocument/2006/relationships" name="_Lists" sheetId="3" state="hidden" r:id="rId3"/>
    <sheet xmlns:r="http://schemas.openxmlformats.org/officeDocument/2006/relationships" name="Model &amp; Data" sheetId="4" state="visible" r:id="rId4"/>
    <sheet xmlns:r="http://schemas.openxmlformats.org/officeDocument/2006/relationships" name="Validation Results" sheetId="5" state="visible" r:id="rId5"/>
    <sheet xmlns:r="http://schemas.openxmlformats.org/officeDocument/2006/relationships" name="Credibility Factors" sheetId="6" state="visible" r:id="rId6"/>
    <sheet xmlns:r="http://schemas.openxmlformats.org/officeDocument/2006/relationships" name="Decision" sheetId="7" state="visible" r:id="rId7"/>
  </sheets>
  <definedNames>
    <definedName name="list_assessed" hidden="0" function="0" vbProcedure="0">_Lists!$J$2:$J$4</definedName>
    <definedName name="list_assurance" hidden="0" function="0" vbProcedure="0">_Lists!$D$2:$D$4</definedName>
    <definedName name="list_decision" hidden="0" function="0" vbProcedure="0">_Lists!$K$2:$K$4</definedName>
    <definedName name="list_device_class" hidden="0" function="0" vbProcedure="0">_Lists!$B$2:$B$10</definedName>
    <definedName name="list_entity_type" hidden="0" function="0" vbProcedure="0">_Lists!$F$2:$F$4</definedName>
    <definedName name="list_factor_level" hidden="0" function="0" vbProcedure="0">_Lists!$I$2:$I$5</definedName>
    <definedName name="list_has_uq" hidden="0" function="0" vbProcedure="0">_Lists!$G$2:$G$3</definedName>
    <definedName name="list_mrl" hidden="0" function="0" vbProcedure="0">_Lists!$C$2:$C$6</definedName>
    <definedName name="list_pass_fail" hidden="0" function="0" vbProcedure="0">_Lists!$H$2:$H$5</definedName>
    <definedName name="list_profile" hidden="0" function="0" vbProcedure="0">_Lists!$A$2:$A$3</definedName>
    <definedName name="list_standards" hidden="0" function="0" vbProcedure="0">_Lists!$E$2:$E$5</definedName>
  </definedNames>
  <calcPr calcId="124519" fullCalcOnLoad="1" refMode="A1" iterate="0" iterateCount="100" iterateDelta="0.0001"/>
</workbook>
</file>

<file path=xl/styles.xml><?xml version="1.0" encoding="utf-8"?>
<styleSheet xmlns="http://schemas.openxmlformats.org/spreadsheetml/2006/main">
  <numFmts count="0"/>
  <fonts count="16">
    <font>
      <name val="Calibri"/>
      <charset val="1"/>
      <family val="2"/>
      <color theme="1"/>
      <sz val="11"/>
    </font>
    <font>
      <name val="Arial"/>
      <family val="0"/>
      <sz val="10"/>
    </font>
    <font>
      <name val="Arial"/>
      <family val="0"/>
      <sz val="10"/>
    </font>
    <font>
      <name val="Arial"/>
      <family val="0"/>
      <sz val="10"/>
    </font>
    <font>
      <name val="Arial"/>
      <charset val="1"/>
      <family val="0"/>
      <b val="1"/>
      <color rgb="FF1B4F72"/>
      <sz val="14"/>
    </font>
    <font>
      <name val="Arial"/>
      <charset val="1"/>
      <family val="0"/>
      <b val="1"/>
      <color rgb="FFFFFFFF"/>
      <sz val="10"/>
    </font>
    <font>
      <name val="Arial"/>
      <charset val="1"/>
      <family val="0"/>
      <i val="1"/>
      <color rgb="FF666666"/>
      <sz val="9"/>
    </font>
    <font>
      <name val="Arial"/>
      <charset val="1"/>
      <family val="0"/>
      <sz val="10"/>
    </font>
    <font>
      <name val="Arial"/>
      <charset val="1"/>
      <family val="0"/>
      <b val="1"/>
      <sz val="9"/>
    </font>
    <font>
      <name val="Arial"/>
      <charset val="1"/>
      <family val="0"/>
      <sz val="9"/>
    </font>
    <font>
      <name val="Arial"/>
      <charset val="1"/>
      <family val="0"/>
      <b val="1"/>
      <color rgb="FF1B4F72"/>
      <sz val="10"/>
    </font>
    <font>
      <name val="Cambria"/>
      <charset val="1"/>
      <family val="0"/>
      <b val="1"/>
      <sz val="11"/>
    </font>
    <font>
      <name val="Arial"/>
      <charset val="1"/>
      <family val="0"/>
      <i val="1"/>
      <color rgb="FF555555"/>
      <sz val="10"/>
    </font>
    <font>
      <name val="Arial"/>
      <charset val="1"/>
      <family val="0"/>
      <b val="1"/>
      <sz val="10"/>
    </font>
    <font>
      <name val="Arial"/>
      <b val="1"/>
      <color rgb="00FFFFFF"/>
      <sz val="10"/>
    </font>
    <font>
      <name val="Arial"/>
      <color rgb="00666666"/>
      <sz val="9"/>
    </font>
  </fonts>
  <fills count="10">
    <fill>
      <patternFill/>
    </fill>
    <fill>
      <patternFill patternType="gray125"/>
    </fill>
    <fill>
      <patternFill patternType="solid">
        <fgColor rgb="FF1B4F72"/>
        <bgColor rgb="FF333399"/>
      </patternFill>
    </fill>
    <fill>
      <patternFill patternType="solid">
        <fgColor rgb="FFF2F3F4"/>
        <bgColor rgb="FFFFFFFF"/>
      </patternFill>
    </fill>
    <fill>
      <patternFill patternType="solid">
        <fgColor rgb="FFD6EAF8"/>
        <bgColor rgb="FFD5F5E3"/>
      </patternFill>
    </fill>
    <fill>
      <patternFill patternType="solid">
        <fgColor rgb="FFD5F5E3"/>
        <bgColor rgb="FFD6EAF8"/>
      </patternFill>
    </fill>
    <fill>
      <patternFill patternType="solid">
        <fgColor rgb="FFFFFFFF"/>
        <bgColor rgb="FFF2F3F4"/>
      </patternFill>
    </fill>
    <fill>
      <patternFill patternType="solid">
        <fgColor rgb="001B4F72"/>
      </patternFill>
    </fill>
    <fill>
      <patternFill patternType="solid">
        <fgColor rgb="00F2F3F4"/>
      </patternFill>
    </fill>
    <fill>
      <patternFill patternType="solid">
        <fgColor rgb="00FFEB9C"/>
        <bgColor rgb="00FFEB9C"/>
      </patternFill>
    </fill>
  </fills>
  <borders count="3">
    <border>
      <left/>
      <right/>
      <top/>
      <bottom/>
      <diagonal/>
    </border>
    <border>
      <left style="thin">
        <color rgb="FFCCCCCC"/>
      </left>
      <right style="thin">
        <color rgb="FFCCCCCC"/>
      </right>
      <top style="thin">
        <color rgb="FFCCCCCC"/>
      </top>
      <bottom style="thin">
        <color rgb="FFCCCCCC"/>
      </bottom>
      <diagonal/>
    </border>
    <border>
      <left style="thin">
        <color rgb="00CCCCCC"/>
      </left>
      <right style="thin">
        <color rgb="00CCCCCC"/>
      </right>
      <top style="thin">
        <color rgb="00CCCCCC"/>
      </top>
      <bottom style="thin">
        <color rgb="00CCCCCC"/>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1" applyAlignment="1" pivotButton="0" quotePrefix="0" xfId="0">
      <alignment horizontal="center" vertical="center" wrapText="1"/>
    </xf>
    <xf numFmtId="0" fontId="6"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8" fillId="0" borderId="0" applyAlignment="1" pivotButton="0" quotePrefix="0" xfId="0">
      <alignment horizontal="general" vertical="bottom"/>
    </xf>
    <xf numFmtId="0" fontId="9" fillId="4" borderId="0" applyAlignment="1" pivotButton="0" quotePrefix="0" xfId="0">
      <alignment horizontal="general" vertical="bottom"/>
    </xf>
    <xf numFmtId="0" fontId="9" fillId="5"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7" fillId="0" borderId="0" applyAlignment="1" pivotButton="0" quotePrefix="0" xfId="0">
      <alignment horizontal="general" vertical="bottom" wrapText="1"/>
    </xf>
    <xf numFmtId="0" fontId="11" fillId="0" borderId="0" applyAlignment="1" pivotButton="0" quotePrefix="0" xfId="0">
      <alignment horizontal="general" vertical="bottom"/>
    </xf>
    <xf numFmtId="0" fontId="7" fillId="6" borderId="1" applyAlignment="1" pivotButton="0" quotePrefix="0" xfId="0">
      <alignment horizontal="general" vertical="top" wrapText="1"/>
    </xf>
    <xf numFmtId="0" fontId="12" fillId="0" borderId="0" applyAlignment="1" pivotButton="0" quotePrefix="0" xfId="0">
      <alignment horizontal="general" vertical="bottom" wrapText="1"/>
    </xf>
    <xf numFmtId="0" fontId="13" fillId="3" borderId="1" applyAlignment="1" pivotButton="0" quotePrefix="0" xfId="0">
      <alignment horizontal="general" vertical="top" wrapText="1"/>
    </xf>
    <xf numFmtId="0" fontId="7" fillId="3"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1" applyAlignment="1" pivotButton="0" quotePrefix="0" xfId="0">
      <alignment horizontal="center" vertical="center" wrapText="1"/>
    </xf>
    <xf numFmtId="0" fontId="5" fillId="2" borderId="0" applyAlignment="1" pivotButton="0" quotePrefix="0" xfId="0">
      <alignment horizontal="center" vertical="center" wrapText="1"/>
    </xf>
    <xf numFmtId="0" fontId="6" fillId="3" borderId="1" applyAlignment="1" pivotButton="0" quotePrefix="0" xfId="0">
      <alignment horizontal="general" vertical="top" wrapText="1"/>
    </xf>
    <xf numFmtId="0" fontId="6" fillId="0" borderId="0" pivotButton="0" quotePrefix="0" xfId="0"/>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8" fillId="0" borderId="0" applyAlignment="1" pivotButton="0" quotePrefix="0" xfId="0">
      <alignment horizontal="general" vertical="bottom"/>
    </xf>
    <xf numFmtId="0" fontId="9" fillId="4" borderId="0" applyAlignment="1" pivotButton="0" quotePrefix="0" xfId="0">
      <alignment horizontal="general" vertical="bottom"/>
    </xf>
    <xf numFmtId="0" fontId="9" fillId="5"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7" fillId="0" borderId="0" applyAlignment="1" pivotButton="0" quotePrefix="0" xfId="0">
      <alignment horizontal="general" vertical="bottom" wrapText="1"/>
    </xf>
    <xf numFmtId="0" fontId="11" fillId="0" borderId="0" applyAlignment="1" pivotButton="0" quotePrefix="0" xfId="0">
      <alignment horizontal="general" vertical="bottom"/>
    </xf>
    <xf numFmtId="0" fontId="7" fillId="6" borderId="1" applyAlignment="1" pivotButton="0" quotePrefix="0" xfId="0">
      <alignment horizontal="general" vertical="top" wrapText="1"/>
    </xf>
    <xf numFmtId="0" fontId="12" fillId="0" borderId="0" applyAlignment="1" pivotButton="0" quotePrefix="0" xfId="0">
      <alignment horizontal="general" vertical="bottom" wrapText="1"/>
    </xf>
    <xf numFmtId="0" fontId="13" fillId="3" borderId="1" applyAlignment="1" pivotButton="0" quotePrefix="0" xfId="0">
      <alignment horizontal="general" vertical="top" wrapText="1"/>
    </xf>
    <xf numFmtId="0" fontId="7" fillId="3" borderId="1" applyAlignment="1" pivotButton="0" quotePrefix="0" xfId="0">
      <alignment horizontal="general" vertical="top" wrapText="1"/>
    </xf>
    <xf numFmtId="0" fontId="14" fillId="7" borderId="2" applyAlignment="1" pivotButton="0" quotePrefix="0" xfId="0">
      <alignment horizontal="center" vertical="center" wrapText="1"/>
    </xf>
    <xf numFmtId="0" fontId="15" fillId="8" borderId="2" applyAlignment="1" pivotButton="0" quotePrefix="0" xfId="0">
      <alignment vertical="top" wrapText="1"/>
    </xf>
    <xf numFmtId="0" fontId="6" fillId="9" borderId="1" applyAlignment="1" pivotButton="0" quotePrefix="0" xfId="0">
      <alignment horizontal="general" vertical="top" wrapText="1"/>
    </xf>
    <xf numFmtId="0" fontId="6" fillId="9" borderId="0" pivotButton="0" quotePrefix="0" xfId="0"/>
    <xf numFmtId="0" fontId="7" fillId="9" borderId="1" applyAlignment="1" pivotButton="0" quotePrefix="0" xfId="0">
      <alignment horizontal="general" vertical="top" wrapText="1"/>
    </xf>
    <xf numFmtId="0" fontId="0" fillId="9"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2F3F4"/>
      <rgbColor rgb="FFD6EAF8"/>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5F5E3"/>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1B4F72"/>
      <rgbColor rgb="FF339966"/>
      <rgbColor rgb="FF003300"/>
      <rgbColor rgb="FF333300"/>
      <rgbColor rgb="FF993300"/>
      <rgbColor rgb="FF993366"/>
      <rgbColor rgb="FF333399"/>
      <rgbColor rgb="FF555555"/>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C3" authorId="0" shapeId="0">
      <text>
        <t>[Extract] | Confidence: 50%</t>
      </text>
    </comment>
    <comment ref="D3" authorId="0" shapeId="0">
      <text>
        <t>[Extract] | Confidence: 50%</t>
      </text>
    </comment>
    <comment ref="E3" authorId="0" shapeId="0">
      <text>
        <t>[Extract] | Confidence: 50%</t>
      </text>
    </comment>
    <comment ref="F3" authorId="0" shapeId="0">
      <text>
        <t>[Extract] | Confidence: 50%</t>
      </text>
    </comment>
    <comment ref="G3" authorId="0" shapeId="0">
      <text>
        <t>[Extract] | Confidence: 50%</t>
      </text>
    </comment>
    <comment ref="H3" authorId="0" shapeId="0">
      <text>
        <t>[Extract] | Confidence: 50%</t>
      </text>
    </comment>
    <comment ref="K3" authorId="0" shapeId="0">
      <text>
        <t>[Extract] | Confidence: 50%</t>
      </text>
    </comment>
    <comment ref="L3" authorId="0" shapeId="0">
      <text>
        <t>[Extract] | Confidence: 50%</t>
      </text>
    </comment>
  </commentList>
</comments>
</file>

<file path=xl/comments/comment2.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D3" authorId="0" shapeId="0">
      <text>
        <t>[Extract] | Confidence: 50%</t>
      </text>
    </comment>
    <comment ref="A4" authorId="0" shapeId="0">
      <text>
        <t>[Extract] | Confidence: 50%</t>
      </text>
    </comment>
    <comment ref="B4" authorId="0" shapeId="0">
      <text>
        <t>[Extract] | Confidence: 50%</t>
      </text>
    </comment>
    <comment ref="D4" authorId="0" shapeId="0">
      <text>
        <t>[Extract] | Confidence: 50%</t>
      </text>
    </comment>
    <comment ref="A5" authorId="0" shapeId="0">
      <text>
        <t>[Extract] | Confidence: 50%</t>
      </text>
    </comment>
    <comment ref="B5" authorId="0" shapeId="0">
      <text>
        <t>[Extract] | Confidence: 50%</t>
      </text>
    </comment>
    <comment ref="D5" authorId="0" shapeId="0">
      <text>
        <t>[Extract] | Confidence: 50%</t>
      </text>
    </comment>
    <comment ref="A6" authorId="0" shapeId="0">
      <text>
        <t>[Extract] | Confidence: 50%</t>
      </text>
    </comment>
    <comment ref="B6" authorId="0" shapeId="0">
      <text>
        <t>[Extract] | Confidence: 50%</t>
      </text>
    </comment>
    <comment ref="D6" authorId="0" shapeId="0">
      <text>
        <t>[Extract] | Confidence: 50%</t>
      </text>
    </comment>
    <comment ref="A7" authorId="0" shapeId="0">
      <text>
        <t>[Extract] | Confidence: 50%</t>
      </text>
    </comment>
    <comment ref="B7" authorId="0" shapeId="0">
      <text>
        <t>[Extract] | Confidence: 50%</t>
      </text>
    </comment>
    <comment ref="D7" authorId="0" shapeId="0">
      <text>
        <t>[Extract] | Confidence: 50%</t>
      </text>
    </comment>
  </commentList>
</comments>
</file>

<file path=xl/comments/comment3.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D3" authorId="0" shapeId="0">
      <text>
        <t>[Extract] | Confidence: 50%</t>
      </text>
    </comment>
    <comment ref="E3" authorId="0" shapeId="0">
      <text>
        <t>[Extract] | Confidence: 50%</t>
      </text>
    </comment>
    <comment ref="F3" authorId="0" shapeId="0">
      <text>
        <t>[Extract] | Confidence: 50%</t>
      </text>
    </comment>
    <comment ref="G3" authorId="0" shapeId="0">
      <text>
        <t>[Extract] | Confidence: 50%</t>
      </text>
    </comment>
    <comment ref="H3" authorId="0" shapeId="0">
      <text>
        <t>[Extract] | Confidence: 50%</t>
      </text>
    </comment>
    <comment ref="I3" authorId="0" shapeId="0">
      <text>
        <t>[Extract] | Confidence: 50%</t>
      </text>
    </comment>
    <comment ref="A4" authorId="0" shapeId="0">
      <text>
        <t>[Extract] | Confidence: 50%</t>
      </text>
    </comment>
    <comment ref="B4" authorId="0" shapeId="0">
      <text>
        <t>[Extract] | Confidence: 50%</t>
      </text>
    </comment>
    <comment ref="D4" authorId="0" shapeId="0">
      <text>
        <t>[Extract] | Confidence: 50%</t>
      </text>
    </comment>
    <comment ref="E4" authorId="0" shapeId="0">
      <text>
        <t>[Extract] | Confidence: 50%</t>
      </text>
    </comment>
    <comment ref="F4" authorId="0" shapeId="0">
      <text>
        <t>[Extract] | Confidence: 50%</t>
      </text>
    </comment>
    <comment ref="H4" authorId="0" shapeId="0">
      <text>
        <t>[Extract] | Confidence: 50%</t>
      </text>
    </comment>
    <comment ref="I4" authorId="0" shapeId="0">
      <text>
        <t>[Extract] | Confidence: 50%</t>
      </text>
    </comment>
    <comment ref="A5" authorId="0" shapeId="0">
      <text>
        <t>[Extract] | Confidence: 50%</t>
      </text>
    </comment>
    <comment ref="B5" authorId="0" shapeId="0">
      <text>
        <t>[Extract] | Confidence: 50%</t>
      </text>
    </comment>
    <comment ref="D5" authorId="0" shapeId="0">
      <text>
        <t>[Extract] | Confidence: 50%</t>
      </text>
    </comment>
    <comment ref="E5" authorId="0" shapeId="0">
      <text>
        <t>[Extract] | Confidence: 50%</t>
      </text>
    </comment>
    <comment ref="F5" authorId="0" shapeId="0">
      <text>
        <t>[Extract] | Confidence: 50%</t>
      </text>
    </comment>
    <comment ref="G5" authorId="0" shapeId="0">
      <text>
        <t>[Extract] | Confidence: 50%</t>
      </text>
    </comment>
    <comment ref="H5" authorId="0" shapeId="0">
      <text>
        <t>[Extract] | Confidence: 50%</t>
      </text>
    </comment>
    <comment ref="I5" authorId="0" shapeId="0">
      <text>
        <t>[Extract] | Confidence: 50%</t>
      </text>
    </comment>
    <comment ref="A6" authorId="0" shapeId="0">
      <text>
        <t>[Extract] | Confidence: 50%</t>
      </text>
    </comment>
    <comment ref="B6" authorId="0" shapeId="0">
      <text>
        <t>[Extract] | Confidence: 50%</t>
      </text>
    </comment>
    <comment ref="D6" authorId="0" shapeId="0">
      <text>
        <t>[Extract] | Confidence: 50%</t>
      </text>
    </comment>
    <comment ref="E6" authorId="0" shapeId="0">
      <text>
        <t>[Extract] | Confidence: 50%</t>
      </text>
    </comment>
    <comment ref="F6" authorId="0" shapeId="0">
      <text>
        <t>[Extract] | Confidence: 50%</t>
      </text>
    </comment>
    <comment ref="H6" authorId="0" shapeId="0">
      <text>
        <t>[Extract] | Confidence: 50%</t>
      </text>
    </comment>
    <comment ref="I6" authorId="0" shapeId="0">
      <text>
        <t>[Extract] | Confidence: 50%</t>
      </text>
    </comment>
    <comment ref="A7" authorId="0" shapeId="0">
      <text>
        <t>[Extract] | Confidence: 50%</t>
      </text>
    </comment>
    <comment ref="B7" authorId="0" shapeId="0">
      <text>
        <t>[Extract] | Confidence: 50%</t>
      </text>
    </comment>
    <comment ref="D7" authorId="0" shapeId="0">
      <text>
        <t>[Extract] | Confidence: 50%</t>
      </text>
    </comment>
    <comment ref="E7" authorId="0" shapeId="0">
      <text>
        <t>[Extract] | Confidence: 50%</t>
      </text>
    </comment>
    <comment ref="F7" authorId="0" shapeId="0">
      <text>
        <t>[Extract] | Confidence: 50%</t>
      </text>
    </comment>
    <comment ref="H7" authorId="0" shapeId="0">
      <text>
        <t>[Extract] | Confidence: 50%</t>
      </text>
    </comment>
    <comment ref="I7" authorId="0" shapeId="0">
      <text>
        <t>[Extract] | Confidence: 50%</t>
      </text>
    </comment>
  </commentList>
</comments>
</file>

<file path=xl/comments/comment4.xml><?xml version="1.0" encoding="utf-8"?>
<comments xmlns="http://schemas.openxmlformats.org/spreadsheetml/2006/main">
  <authors>
    <author>uofa extract</author>
  </authors>
  <commentList>
    <comment ref="C5" authorId="0" shapeId="0">
      <text>
        <t>[Extract] | Confidence: 50%</t>
      </text>
    </comment>
    <comment ref="D5" authorId="0" shapeId="0">
      <text>
        <t>[Extract] | Confidence: 50%</t>
      </text>
    </comment>
    <comment ref="E5" authorId="0" shapeId="0">
      <text>
        <t>[Extract] | Confidence: 50%</t>
      </text>
    </comment>
    <comment ref="F5" authorId="0" shapeId="0">
      <text>
        <t>[Extract] | Confidence: 50%</t>
      </text>
    </comment>
    <comment ref="G5" authorId="0" shapeId="0">
      <text>
        <t>[Extract] | Confidence: 50%</t>
      </text>
    </comment>
    <comment ref="C6" authorId="0" shapeId="0">
      <text>
        <t>[Extract] | Confidence: 50%</t>
      </text>
    </comment>
    <comment ref="D6" authorId="0" shapeId="0">
      <text>
        <t>[Extract] | Confidence: 50%</t>
      </text>
    </comment>
    <comment ref="E6" authorId="0" shapeId="0">
      <text>
        <t>[Extract] | Confidence: 50%</t>
      </text>
    </comment>
    <comment ref="F6" authorId="0" shapeId="0">
      <text>
        <t>[Extract] | Confidence: 50%</t>
      </text>
    </comment>
    <comment ref="G6" authorId="0" shapeId="0">
      <text>
        <t>[Extract] | Confidence: 50%</t>
      </text>
    </comment>
    <comment ref="C7" authorId="0" shapeId="0">
      <text>
        <t>[Extract] | Confidence: 50%</t>
      </text>
    </comment>
    <comment ref="D7" authorId="0" shapeId="0">
      <text>
        <t>[Extract] | Confidence: 50%</t>
      </text>
    </comment>
    <comment ref="E7" authorId="0" shapeId="0">
      <text>
        <t>[Extract] | Confidence: 50%</t>
      </text>
    </comment>
    <comment ref="F7" authorId="0" shapeId="0">
      <text>
        <t>[Extract] | Confidence: 50%</t>
      </text>
    </comment>
    <comment ref="G7" authorId="0" shapeId="0">
      <text>
        <t>[Extract] | Confidence: 50%</t>
      </text>
    </comment>
    <comment ref="C8" authorId="0" shapeId="0">
      <text>
        <t>[Extract] | Confidence: 50%</t>
      </text>
    </comment>
    <comment ref="D8" authorId="0" shapeId="0">
      <text>
        <t>[Extract] | Confidence: 50%</t>
      </text>
    </comment>
    <comment ref="E8" authorId="0" shapeId="0">
      <text>
        <t>[Extract] | Confidence: 50%</t>
      </text>
    </comment>
    <comment ref="F8" authorId="0" shapeId="0">
      <text>
        <t>[Extract] | Confidence: 50%</t>
      </text>
    </comment>
    <comment ref="G8" authorId="0" shapeId="0">
      <text>
        <t>[Extract] | Confidence: 50%</t>
      </text>
    </comment>
    <comment ref="C9" authorId="0" shapeId="0">
      <text>
        <t>[Extract] | Confidence: 50%</t>
      </text>
    </comment>
    <comment ref="D9" authorId="0" shapeId="0">
      <text>
        <t>[Extract] | Confidence: 50%</t>
      </text>
    </comment>
    <comment ref="E9" authorId="0" shapeId="0">
      <text>
        <t>[Extract] | Confidence: 50%</t>
      </text>
    </comment>
    <comment ref="F9" authorId="0" shapeId="0">
      <text>
        <t>[Extract] | Confidence: 50%</t>
      </text>
    </comment>
    <comment ref="G9" authorId="0" shapeId="0">
      <text>
        <t>[Extract] | Confidence: 50%</t>
      </text>
    </comment>
    <comment ref="C10" authorId="0" shapeId="0">
      <text>
        <t>[Extract] | Confidence: 50%</t>
      </text>
    </comment>
    <comment ref="D10" authorId="0" shapeId="0">
      <text>
        <t>[Extract] | Confidence: 50%</t>
      </text>
    </comment>
    <comment ref="E10" authorId="0" shapeId="0">
      <text>
        <t>[Extract] | Confidence: 50%</t>
      </text>
    </comment>
    <comment ref="F10" authorId="0" shapeId="0">
      <text>
        <t>[Extract] | Confidence: 50%</t>
      </text>
    </comment>
    <comment ref="G10" authorId="0" shapeId="0">
      <text>
        <t>[Extract] | Confidence: 50%</t>
      </text>
    </comment>
    <comment ref="C11" authorId="0" shapeId="0">
      <text>
        <t>[Extract] | Confidence: 50%</t>
      </text>
    </comment>
    <comment ref="D11" authorId="0" shapeId="0">
      <text>
        <t>[Extract] | Confidence: 50%</t>
      </text>
    </comment>
    <comment ref="E11" authorId="0" shapeId="0">
      <text>
        <t>[Extract] | Confidence: 50%</t>
      </text>
    </comment>
    <comment ref="F11" authorId="0" shapeId="0">
      <text>
        <t>[Extract] | Confidence: 50%</t>
      </text>
    </comment>
    <comment ref="G11" authorId="0" shapeId="0">
      <text>
        <t>[Extract] | Confidence: 50%</t>
      </text>
    </comment>
    <comment ref="C12" authorId="0" shapeId="0">
      <text>
        <t>[Extract] | Confidence: 50%</t>
      </text>
    </comment>
    <comment ref="D12" authorId="0" shapeId="0">
      <text>
        <t>[Extract] | Confidence: 50%</t>
      </text>
    </comment>
    <comment ref="E12" authorId="0" shapeId="0">
      <text>
        <t>[Extract] | Confidence: 50%</t>
      </text>
    </comment>
    <comment ref="F12" authorId="0" shapeId="0">
      <text>
        <t>[Extract] | Confidence: 50%</t>
      </text>
    </comment>
    <comment ref="G12" authorId="0" shapeId="0">
      <text>
        <t>[Extract] | Confidence: 50%</t>
      </text>
    </comment>
    <comment ref="C13" authorId="0" shapeId="0">
      <text>
        <t>[Extract] | Confidence: 50%</t>
      </text>
    </comment>
    <comment ref="D13" authorId="0" shapeId="0">
      <text>
        <t>[Extract] | Confidence: 50%</t>
      </text>
    </comment>
    <comment ref="E13" authorId="0" shapeId="0">
      <text>
        <t>[Extract] | Confidence: 50%</t>
      </text>
    </comment>
    <comment ref="F13" authorId="0" shapeId="0">
      <text>
        <t>[Extract] | Confidence: 50%</t>
      </text>
    </comment>
    <comment ref="G13" authorId="0" shapeId="0">
      <text>
        <t>[Extract] | Confidence: 50%</t>
      </text>
    </comment>
    <comment ref="C14" authorId="0" shapeId="0">
      <text>
        <t>[Extract] | Confidence: 50%</t>
      </text>
    </comment>
    <comment ref="D14" authorId="0" shapeId="0">
      <text>
        <t>[Extract] | Confidence: 50%</t>
      </text>
    </comment>
    <comment ref="E14" authorId="0" shapeId="0">
      <text>
        <t>[Extract] | Confidence: 50%</t>
      </text>
    </comment>
    <comment ref="F14" authorId="0" shapeId="0">
      <text>
        <t>[Extract] | Confidence: 50%</t>
      </text>
    </comment>
    <comment ref="G14" authorId="0" shapeId="0">
      <text>
        <t>[Extract] | Confidence: 50%</t>
      </text>
    </comment>
    <comment ref="C15" authorId="0" shapeId="0">
      <text>
        <t>[Extract] | Confidence: 50%</t>
      </text>
    </comment>
    <comment ref="D15" authorId="0" shapeId="0">
      <text>
        <t>[Extract] | Confidence: 50%</t>
      </text>
    </comment>
    <comment ref="E15" authorId="0" shapeId="0">
      <text>
        <t>[Extract] | Confidence: 50%</t>
      </text>
    </comment>
    <comment ref="F15" authorId="0" shapeId="0">
      <text>
        <t>[Extract] | Confidence: 50%</t>
      </text>
    </comment>
    <comment ref="G15" authorId="0" shapeId="0">
      <text>
        <t>[Extract] | Confidence: 50%</t>
      </text>
    </comment>
    <comment ref="C16" authorId="0" shapeId="0">
      <text>
        <t>[Extract] | Confidence: 50%</t>
      </text>
    </comment>
    <comment ref="D16" authorId="0" shapeId="0">
      <text>
        <t>[Extract] | Confidence: 50%</t>
      </text>
    </comment>
    <comment ref="E16" authorId="0" shapeId="0">
      <text>
        <t>[Extract] | Confidence: 50%</t>
      </text>
    </comment>
    <comment ref="F16" authorId="0" shapeId="0">
      <text>
        <t>[Extract] | Confidence: 50%</t>
      </text>
    </comment>
    <comment ref="G16" authorId="0" shapeId="0">
      <text>
        <t>[Extract] | Confidence: 50%</t>
      </text>
    </comment>
    <comment ref="C17" authorId="0" shapeId="0">
      <text>
        <t>[Extract] | Confidence: 50%</t>
      </text>
    </comment>
    <comment ref="D17" authorId="0" shapeId="0">
      <text>
        <t>[Extract] | Confidence: 50%</t>
      </text>
    </comment>
    <comment ref="E17" authorId="0" shapeId="0">
      <text>
        <t>[Extract] | Confidence: 50%</t>
      </text>
    </comment>
    <comment ref="F17" authorId="0" shapeId="0">
      <text>
        <t>[Extract] | Confidence: 50%</t>
      </text>
    </comment>
    <comment ref="G17" authorId="0" shapeId="0">
      <text>
        <t>[Extract] | Confidence: 50%</t>
      </text>
    </comment>
  </commentList>
</comments>
</file>

<file path=xl/comments/comment5.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7.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filterMode="0">
    <outlinePr summaryBelow="1" summaryRight="1"/>
    <pageSetUpPr fitToPage="1"/>
  </sheetPr>
  <dimension ref="A1:L6"/>
  <sheetViews>
    <sheetView showFormulas="0" showGridLines="1" showRowColHeaders="1" showZeros="1" rightToLeft="0" tabSelected="1"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0" customWidth="1" style="17" min="2" max="2"/>
    <col width="40" customWidth="1" style="17" min="3" max="3"/>
    <col width="12" customWidth="1" style="17" min="4" max="4"/>
    <col width="14" customWidth="1" style="17" min="5" max="5"/>
    <col width="16" customWidth="1" style="17" min="6" max="6"/>
    <col width="14" customWidth="1" style="17" min="7" max="7"/>
    <col width="20" customWidth="1" style="17" min="8" max="8"/>
    <col width="22" customWidth="1" style="17" min="9" max="9"/>
    <col width="16" customWidth="1" style="17" min="10" max="10"/>
    <col width="30" customWidth="1" style="17" min="11" max="11"/>
  </cols>
  <sheetData>
    <row r="1" ht="30" customHeight="1" s="18">
      <c r="A1" s="19" t="inlineStr">
        <is>
          <t>Unit of Assurance — Assessment Summary</t>
        </is>
      </c>
    </row>
    <row r="2" ht="23.85" customHeight="1" s="18">
      <c r="A2" s="20" t="inlineStr">
        <is>
          <t>Project Name</t>
        </is>
      </c>
      <c r="B2" s="20" t="inlineStr">
        <is>
          <t>COU Name</t>
        </is>
      </c>
      <c r="C2" s="20" t="inlineStr">
        <is>
          <t>COU Description</t>
        </is>
      </c>
      <c r="D2" s="20" t="inlineStr">
        <is>
          <t>Profile</t>
        </is>
      </c>
      <c r="E2" s="20" t="inlineStr">
        <is>
          <t>Device Class</t>
        </is>
      </c>
      <c r="F2" s="20" t="inlineStr">
        <is>
          <t>Model Risk Level</t>
        </is>
      </c>
      <c r="G2" s="20" t="inlineStr">
        <is>
          <t>Assurance Level</t>
        </is>
      </c>
      <c r="H2" s="20" t="inlineStr">
        <is>
          <t>Standards Reference</t>
        </is>
      </c>
      <c r="I2" s="20" t="inlineStr">
        <is>
          <t>Assessor Name</t>
        </is>
      </c>
      <c r="J2" s="20" t="inlineStr">
        <is>
          <t>Assessment Date</t>
        </is>
      </c>
      <c r="K2" s="20" t="inlineStr">
        <is>
          <t>Source Document</t>
        </is>
      </c>
      <c r="L2" s="21" t="inlineStr">
        <is>
          <t>Has UQ?</t>
        </is>
      </c>
    </row>
    <row r="3" ht="32.8" customHeight="1" s="18">
      <c r="A3" s="39" t="inlineStr">
        <is>
          <t>Cementless Femoral Stem FEA — Rev F Press-Fit</t>
        </is>
      </c>
      <c r="B3" s="39" t="inlineStr">
        <is>
          <t>Predict peak bone–implant interface micromotion during early gait loading to support acceptance decision for Rev F femoral stem</t>
        </is>
      </c>
      <c r="C3" s="39" t="inlineStr">
        <is>
          <t>Structural finite element analysis (Abaqus/Standard) of a cementless Ti-6Al-4V femoral stem press-fitted into a synthetic femur (Sawbones 3403). The context of use is to demonstrate that peak relative micromotion at the medial–lateral proximal interface remains below 40 µm under single-leg stance and heel-strike load cases, and to rank design variants (Rev D vs Rev F, broach sizes S/M/L, knurl patterns) by predicted micromotion. Model outputs include peak micromotion, stem von Mises stress, and contact pressure distribution. Results feed a gate review acceptance decision with a required safety margin &gt; 20% on the 40 µm threshold.</t>
        </is>
      </c>
      <c r="D3" s="39" t="inlineStr">
        <is>
          <t>Complete</t>
        </is>
      </c>
      <c r="E3" s="39" t="inlineStr">
        <is>
          <t>Class II</t>
        </is>
      </c>
      <c r="F3" s="39" t="inlineStr">
        <is>
          <t>MRL 3</t>
        </is>
      </c>
      <c r="G3" s="39" t="inlineStr">
        <is>
          <t>Medium</t>
        </is>
      </c>
      <c r="H3" s="39" t="inlineStr">
        <is>
          <t>ASME-VV40-2018</t>
        </is>
      </c>
      <c r="I3" s="22" t="n"/>
      <c r="J3" s="22" t="inlineStr">
        <is>
          <t>Date of this assessment (YYYY-MM-DD)</t>
        </is>
      </c>
      <c r="K3" s="39" t="inlineStr">
        <is>
          <t>report.md</t>
        </is>
      </c>
      <c r="L3" s="40" t="inlineStr">
        <is>
          <t>Yes</t>
        </is>
      </c>
    </row>
    <row r="4" ht="15" customHeight="1" s="18">
      <c r="A4" s="24" t="n"/>
      <c r="B4" s="24" t="n"/>
      <c r="C4" s="25" t="n"/>
      <c r="D4" s="24" t="n"/>
      <c r="E4" s="25" t="n"/>
      <c r="F4" s="25" t="n"/>
      <c r="G4" s="25" t="n"/>
      <c r="H4" s="25" t="n"/>
      <c r="I4" s="24" t="n"/>
      <c r="J4" s="24" t="n"/>
      <c r="K4" s="25" t="n"/>
    </row>
    <row r="6" ht="15" customHeight="1" s="18">
      <c r="A6" s="26" t="inlineStr">
        <is>
          <t>Legend:</t>
        </is>
      </c>
      <c r="C6" s="27" t="inlineStr">
        <is>
          <t>Required (Minimal)</t>
        </is>
      </c>
      <c r="D6" s="28" t="inlineStr">
        <is>
          <t>Required (Complete)</t>
        </is>
      </c>
      <c r="E6" s="29" t="inlineStr">
        <is>
          <t>Optional</t>
        </is>
      </c>
    </row>
  </sheetData>
  <mergeCells count="2">
    <mergeCell ref="A1:K1"/>
    <mergeCell ref="A6:B6"/>
  </mergeCells>
  <dataValidations count="5">
    <dataValidation sqref="D4" showDropDown="0" showInputMessage="0" showErrorMessage="0" allowBlank="0" error="Select Minimal or Complete" type="list" errorStyle="stop" operator="between">
      <formula1>list_profile</formula1>
      <formula2>0</formula2>
    </dataValidation>
    <dataValidation sqref="E4" showDropDown="0" showInputMessage="0" showErrorMessage="0" allowBlank="1" type="list" errorStyle="stop" operator="between">
      <formula1>list_device_class</formula1>
      <formula2>0</formula2>
    </dataValidation>
    <dataValidation sqref="F4" showDropDown="0" showInputMessage="0" showErrorMessage="0" allowBlank="1" type="list" errorStyle="stop" operator="between">
      <formula1>list_mrl</formula1>
      <formula2>0</formula2>
    </dataValidation>
    <dataValidation sqref="G4" showDropDown="0" showInputMessage="0" showErrorMessage="0" allowBlank="1" type="list" errorStyle="stop" operator="between">
      <formula1>list_assurance</formula1>
      <formula2>0</formula2>
    </dataValidation>
    <dataValidation sqref="H4" showDropDown="0" showInputMessage="0" showErrorMessage="0" allowBlank="1" type="list" errorStyle="stop" operator="between">
      <formula1>list_standards</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2.xml><?xml version="1.0" encoding="utf-8"?>
<worksheet xmlns="http://schemas.openxmlformats.org/spreadsheetml/2006/main">
  <sheetPr filterMode="0">
    <outlinePr summaryBelow="1" summaryRight="1"/>
    <pageSetUpPr fitToPage="1"/>
  </sheetPr>
  <dimension ref="A1:B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17" min="1" max="1"/>
    <col width="90" customWidth="1" style="17" min="2" max="2"/>
  </cols>
  <sheetData>
    <row r="1" ht="30" customHeight="1" s="18">
      <c r="A1" s="19" t="inlineStr">
        <is>
          <t>UofA Excel Template — Instructions</t>
        </is>
      </c>
    </row>
    <row r="3" ht="39.75" customHeight="1" s="18">
      <c r="A3" s="30" t="inlineStr">
        <is>
          <t>What is this?</t>
        </is>
      </c>
      <c r="B3" s="31" t="inlineStr">
        <is>
          <t>This workbook captures a credibility assessment for one Context of Use (COU). Fill it out, then run `uofa import` to convert it to a machine-verifiable evidence package.</t>
        </is>
      </c>
    </row>
    <row r="4" ht="39.75" customHeight="1" s="18">
      <c r="A4" s="30" t="inlineStr">
        <is>
          <t>One workbook = one COU</t>
        </is>
      </c>
      <c r="B4" s="31" t="inlineStr">
        <is>
          <t>If your project has multiple COUs (e.g., different device classes or risk levels for the same model), create a separate workbook for each.</t>
        </is>
      </c>
    </row>
    <row r="5" ht="39.75" customHeight="1" s="18">
      <c r="A5" s="30" t="inlineStr">
        <is>
          <t>Profiles</t>
        </is>
      </c>
      <c r="B5" s="31" t="inlineStr">
        <is>
          <t>Minimal (7 fields, lightweight audit trail) is for early-stage projects or live pipeline capture. Complete (full V&amp;V 40 assessment) is for regulatory submissions.</t>
        </is>
      </c>
    </row>
    <row r="6" ht="39.75" customHeight="1" s="18">
      <c r="A6" s="30" t="inlineStr">
        <is>
          <t>Color coding</t>
        </is>
      </c>
      <c r="B6" s="31" t="inlineStr">
        <is>
          <t>Blue cells = required for Minimal profile. Green cells = required for Complete profile. White cells = optional.</t>
        </is>
      </c>
    </row>
    <row r="7" ht="39.75" customHeight="1" s="18">
      <c r="A7" s="30" t="inlineStr">
        <is>
          <t>Credibility Factors</t>
        </is>
      </c>
      <c r="B7" s="31" t="inlineStr">
        <is>
          <t>Sheet 4 is pre-populated with all 13 V&amp;V 40 factors from Table 5-1. You do not need to assess all 13 — set Assessed = "No" or "N/A" for factors not relevant to your COU.</t>
        </is>
      </c>
    </row>
    <row r="8" ht="39.75" customHeight="1" s="18">
      <c r="A8" s="30" t="inlineStr">
        <is>
          <t>Dropdowns</t>
        </is>
      </c>
      <c r="B8" s="31" t="inlineStr">
        <is>
          <t>Most constrained fields use dropdown lists. If you need a custom value not in the dropdown, type it directly (the validation will warn but not prevent entry).</t>
        </is>
      </c>
    </row>
    <row r="9" ht="39.75" customHeight="1" s="18">
      <c r="A9" s="30" t="inlineStr">
        <is>
          <t>After filling out</t>
        </is>
      </c>
      <c r="B9" s="31" t="inlineStr">
        <is>
          <t>Run: uofa import your-file.xlsx --sign --key keys/your.key --check</t>
        </is>
      </c>
    </row>
    <row r="10" ht="39.75" customHeight="1" s="18">
      <c r="A10" s="30" t="inlineStr">
        <is>
          <t>What the tool checks</t>
        </is>
      </c>
      <c r="B10" s="31" t="inlineStr">
        <is>
          <t>Gate 1 (SHACL): Are all required fields present? Gate 2 (Jena rules): Are there quality gaps (weakeners)? Gate 3 (Integrity): Is the hash and signature valid?</t>
        </is>
      </c>
    </row>
    <row r="11" ht="39.75" customHeight="1" s="18">
      <c r="A11" s="30" t="inlineStr">
        <is>
          <t>More info</t>
        </is>
      </c>
      <c r="B11" s="31" t="inlineStr">
        <is>
          <t>https://crediblesimulation.com | https://github.com/cloudronin/uofa</t>
        </is>
      </c>
    </row>
  </sheetData>
  <mergeCells count="1">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L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sheetData>
    <row r="1" ht="15" customHeight="1" s="18">
      <c r="A1" s="32" t="inlineStr">
        <is>
          <t>Profile</t>
        </is>
      </c>
      <c r="B1" s="32" t="inlineStr">
        <is>
          <t>Device Class</t>
        </is>
      </c>
      <c r="C1" s="32" t="inlineStr">
        <is>
          <t>Model Risk Level</t>
        </is>
      </c>
      <c r="D1" s="32" t="inlineStr">
        <is>
          <t>Assurance Level</t>
        </is>
      </c>
      <c r="E1" s="32" t="inlineStr">
        <is>
          <t>Standards Reference</t>
        </is>
      </c>
      <c r="F1" s="32" t="inlineStr">
        <is>
          <t>Entity Type</t>
        </is>
      </c>
      <c r="G1" s="32" t="inlineStr">
        <is>
          <t>Has UQ</t>
        </is>
      </c>
      <c r="H1" s="32" t="inlineStr">
        <is>
          <t>Pass/Fail</t>
        </is>
      </c>
      <c r="I1" s="32" t="inlineStr">
        <is>
          <t>Factor Level (1-5)</t>
        </is>
      </c>
      <c r="J1" s="32" t="inlineStr">
        <is>
          <t>Factor Status</t>
        </is>
      </c>
      <c r="K1" s="32" t="inlineStr">
        <is>
          <t>Decision Outcome</t>
        </is>
      </c>
      <c r="L1" s="17" t="inlineStr">
        <is>
          <t>Has UQ (COU-level)</t>
        </is>
      </c>
    </row>
    <row r="2" ht="15" customHeight="1" s="18">
      <c r="A2" s="17" t="inlineStr">
        <is>
          <t>Minimal</t>
        </is>
      </c>
      <c r="B2" s="17" t="inlineStr">
        <is>
          <t>Class I</t>
        </is>
      </c>
      <c r="C2" s="17" t="inlineStr">
        <is>
          <t>MRL 1</t>
        </is>
      </c>
      <c r="D2" s="17" t="inlineStr">
        <is>
          <t>Low</t>
        </is>
      </c>
      <c r="E2" s="17" t="inlineStr">
        <is>
          <t>ASME-VV40-2018</t>
        </is>
      </c>
      <c r="F2" s="17" t="inlineStr">
        <is>
          <t>Requirement</t>
        </is>
      </c>
      <c r="G2" s="17" t="inlineStr">
        <is>
          <t>Yes</t>
        </is>
      </c>
      <c r="H2" s="17" t="inlineStr">
        <is>
          <t>Pass</t>
        </is>
      </c>
      <c r="I2" s="17" t="n">
        <v>1</v>
      </c>
      <c r="J2" s="17" t="inlineStr">
        <is>
          <t>assessed</t>
        </is>
      </c>
      <c r="K2" s="17" t="inlineStr">
        <is>
          <t>Accepted</t>
        </is>
      </c>
      <c r="L2" s="17" t="inlineStr">
        <is>
          <t>Yes</t>
        </is>
      </c>
    </row>
    <row r="3" ht="15" customHeight="1" s="18">
      <c r="A3" s="17" t="inlineStr">
        <is>
          <t>Complete</t>
        </is>
      </c>
      <c r="B3" s="17" t="inlineStr">
        <is>
          <t>Class II</t>
        </is>
      </c>
      <c r="C3" s="17" t="inlineStr">
        <is>
          <t>MRL 2</t>
        </is>
      </c>
      <c r="D3" s="17" t="inlineStr">
        <is>
          <t>Medium</t>
        </is>
      </c>
      <c r="E3" s="17" t="inlineStr">
        <is>
          <t>NASA-STD-7009B</t>
        </is>
      </c>
      <c r="F3" s="17" t="inlineStr">
        <is>
          <t>Model</t>
        </is>
      </c>
      <c r="G3" s="17" t="inlineStr">
        <is>
          <t>No</t>
        </is>
      </c>
      <c r="H3" s="17" t="inlineStr">
        <is>
          <t>Fail</t>
        </is>
      </c>
      <c r="I3" s="17" t="n">
        <v>2</v>
      </c>
      <c r="J3" s="17" t="inlineStr">
        <is>
          <t>not-assessed</t>
        </is>
      </c>
      <c r="K3" s="17" t="inlineStr">
        <is>
          <t>Not accepted</t>
        </is>
      </c>
      <c r="L3" s="17" t="inlineStr">
        <is>
          <t>No</t>
        </is>
      </c>
    </row>
    <row r="4" ht="15" customHeight="1" s="18">
      <c r="B4" s="17" t="inlineStr">
        <is>
          <t>Class III</t>
        </is>
      </c>
      <c r="C4" s="17" t="inlineStr">
        <is>
          <t>MRL 3</t>
        </is>
      </c>
      <c r="D4" s="17" t="inlineStr">
        <is>
          <t>High</t>
        </is>
      </c>
      <c r="E4" s="17" t="inlineStr">
        <is>
          <t>FDA-2023-CMS</t>
        </is>
      </c>
      <c r="F4" s="17" t="inlineStr">
        <is>
          <t>Dataset</t>
        </is>
      </c>
      <c r="H4" s="17" t="inlineStr">
        <is>
          <t>Inconclusive</t>
        </is>
      </c>
      <c r="I4" s="17" t="n">
        <v>3</v>
      </c>
      <c r="J4" s="17" t="inlineStr">
        <is>
          <t>scoped-out</t>
        </is>
      </c>
      <c r="K4" s="17" t="inlineStr">
        <is>
          <t>Conditional</t>
        </is>
      </c>
    </row>
    <row r="5" ht="15" customHeight="1" s="18">
      <c r="B5" s="17" t="inlineStr">
        <is>
          <t>Category A</t>
        </is>
      </c>
      <c r="C5" s="17" t="inlineStr">
        <is>
          <t>MRL 4</t>
        </is>
      </c>
      <c r="E5" s="17" t="inlineStr">
        <is>
          <t>Custom</t>
        </is>
      </c>
      <c r="H5" s="17" t="inlineStr">
        <is>
          <t>N/A</t>
        </is>
      </c>
      <c r="I5" s="17" t="n">
        <v>4</v>
      </c>
      <c r="J5" s="17" t="inlineStr">
        <is>
          <t>not-applicable</t>
        </is>
      </c>
    </row>
    <row r="6" ht="15" customHeight="1" s="18">
      <c r="B6" s="17" t="inlineStr">
        <is>
          <t>Category B</t>
        </is>
      </c>
      <c r="C6" s="17" t="inlineStr">
        <is>
          <t>MRL 5</t>
        </is>
      </c>
      <c r="I6" s="17" t="n">
        <v>5</v>
      </c>
    </row>
    <row r="7" ht="15" customHeight="1" s="18">
      <c r="B7" s="17" t="inlineStr">
        <is>
          <t>Category C</t>
        </is>
      </c>
    </row>
    <row r="8" ht="15" customHeight="1" s="18">
      <c r="B8" s="17" t="inlineStr">
        <is>
          <t>Category D</t>
        </is>
      </c>
    </row>
    <row r="9" ht="15" customHeight="1" s="18">
      <c r="B9" s="17" t="inlineStr">
        <is>
          <t>Category E</t>
        </is>
      </c>
    </row>
    <row r="10" ht="15" customHeight="1" s="18">
      <c r="B10" s="17" t="inlineStr">
        <is>
          <t>Other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F13"/>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5" customWidth="1" style="17" min="2" max="2"/>
    <col width="40" customWidth="1" style="17" min="3" max="3"/>
    <col width="45" customWidth="1" style="17" min="4" max="4"/>
    <col width="12" customWidth="1" style="17" min="5" max="5"/>
    <col width="20" customWidth="1" style="17" min="6" max="6"/>
  </cols>
  <sheetData>
    <row r="1" ht="30" customHeight="1" s="18">
      <c r="A1" s="19" t="inlineStr">
        <is>
          <t>Model &amp; Data — What you modeled and compared against</t>
        </is>
      </c>
    </row>
    <row r="2" ht="15" customHeight="1" s="18">
      <c r="A2" s="20" t="inlineStr">
        <is>
          <t>Entity Type</t>
        </is>
      </c>
      <c r="B2" s="20" t="inlineStr">
        <is>
          <t>Name</t>
        </is>
      </c>
      <c r="C2" s="20" t="inlineStr">
        <is>
          <t>Identifier / URI</t>
        </is>
      </c>
      <c r="D2" s="20" t="inlineStr">
        <is>
          <t>Description</t>
        </is>
      </c>
      <c r="E2" s="20" t="inlineStr">
        <is>
          <t>Version</t>
        </is>
      </c>
      <c r="F2" s="20" t="inlineStr">
        <is>
          <t>Source</t>
        </is>
      </c>
    </row>
    <row r="3" ht="32.8" customHeight="1" s="18">
      <c r="A3" s="39" t="inlineStr">
        <is>
          <t>Requirement</t>
        </is>
      </c>
      <c r="B3" s="39" t="inlineStr">
        <is>
          <t>Micromotion Threshold Requirement</t>
        </is>
      </c>
      <c r="C3" s="22" t="inlineStr">
        <is>
          <t>Stable URI or local ID</t>
        </is>
      </c>
      <c r="D3" s="39" t="inlineStr">
        <is>
          <t>Peak relative micromotion at the medial–lateral proximal bone–implant interface must remain below 40 µm during single-leg stance and heel-strike loading, with a safety margin greater than 20% relative to that threshold, for Rev F stem acceptance at gate review.</t>
        </is>
      </c>
      <c r="E3" s="22" t="inlineStr">
        <is>
          <t>Version number (optional)</t>
        </is>
      </c>
      <c r="F3" s="22" t="inlineStr">
        <is>
          <t>Where this came from (optional)</t>
        </is>
      </c>
    </row>
    <row r="4" ht="15" customHeight="1" s="18">
      <c r="A4" s="41" t="inlineStr">
        <is>
          <t>Model</t>
        </is>
      </c>
      <c r="B4" s="41" t="inlineStr">
        <is>
          <t>Abaqus/Standard Structural FEA Model — Rev F Femoral Stem</t>
        </is>
      </c>
      <c r="C4" s="24" t="n"/>
      <c r="D4" s="41" t="inlineStr">
        <is>
          <t>Nonlinear static FEA model of CT-derived femur (DigitalFemur-42) with Ti-6Al-4V stem, surface-to-surface frictional contact (µ = 0.30), 50 µm proximal press-fit interference, and bilinear plastic material for stem; run on Abaqus/Standard 2021 HF7 and 2022 GA with HyperMesh 2020 meshing and Python post-processing.</t>
        </is>
      </c>
      <c r="E4" s="33" t="n"/>
      <c r="F4" s="33" t="n"/>
    </row>
    <row r="5" ht="15" customHeight="1" s="18">
      <c r="A5" s="41" t="inlineStr">
        <is>
          <t>Dataset</t>
        </is>
      </c>
      <c r="B5" s="41" t="inlineStr">
        <is>
          <t>DIC Micromotion Validation Dataset — Sawbones Rig</t>
        </is>
      </c>
      <c r="C5" s="24" t="n"/>
      <c r="D5" s="41" t="inlineStr">
        <is>
          <t>Digital image correlation (DIC) stereocamera measurements (7 µm/pixel) of surface micromotion at 8 proximal interface markers on a Sawbones 3403 synthetic femur with Rev F stem under 2 kN axial plus abductor cable loading; used as comparator for FEA validation (Slide 9).</t>
        </is>
      </c>
      <c r="E5" s="33" t="n"/>
      <c r="F5" s="33" t="n"/>
    </row>
    <row r="6" ht="15" customHeight="1" s="18">
      <c r="A6" s="41" t="inlineStr">
        <is>
          <t>Dataset</t>
        </is>
      </c>
      <c r="B6" s="41" t="inlineStr">
        <is>
          <t>Bergmann Hip Contact Load Dataset</t>
        </is>
      </c>
      <c r="C6" s="24" t="n"/>
      <c r="D6" s="41" t="inlineStr">
        <is>
          <t>Literature-derived hip contact force vectors (Bergmann dataset) downsampled to static peak values used to define joint reaction loads (3.0 kN, 20° anterior, 10° medial) and abductor force (1.2×BW) in the FEA boundary conditions.</t>
        </is>
      </c>
      <c r="E6" s="33" t="n"/>
      <c r="F6" s="33" t="n"/>
    </row>
    <row r="7" ht="15" customHeight="1" s="18">
      <c r="A7" s="41" t="inlineStr">
        <is>
          <t>Dataset</t>
        </is>
      </c>
      <c r="B7" s="41" t="inlineStr">
        <is>
          <t>Latin Hypercube Sensitivity Sample — N=25 Completed Runs</t>
        </is>
      </c>
      <c r="C7" s="24" t="n"/>
      <c r="D7" s="41" t="inlineStr">
        <is>
          <t>Partially completed Latin hypercube sampling study (25 of 100 planned runs) on Medium mesh varying E_cortical, E_cancellous, µ, interference, and abductor force ±15%; results used to estimate 95% uncertainty interval on peak micromotion.</t>
        </is>
      </c>
      <c r="E7" s="33" t="n"/>
      <c r="F7" s="33" t="n"/>
    </row>
    <row r="8" ht="15" customHeight="1" s="18">
      <c r="A8" s="24" t="n"/>
      <c r="B8" s="24" t="n"/>
      <c r="C8" s="24" t="n"/>
      <c r="D8" s="33" t="n"/>
      <c r="E8" s="33" t="n"/>
      <c r="F8" s="33" t="n"/>
    </row>
    <row r="9" ht="15" customHeight="1" s="18">
      <c r="A9" s="24" t="n"/>
      <c r="B9" s="24" t="n"/>
      <c r="C9" s="24" t="n"/>
      <c r="D9" s="33" t="n"/>
      <c r="E9" s="33" t="n"/>
      <c r="F9" s="33" t="n"/>
    </row>
    <row r="10" ht="15" customHeight="1" s="18">
      <c r="A10" s="24" t="n"/>
      <c r="B10" s="24" t="n"/>
      <c r="C10" s="24" t="n"/>
      <c r="D10" s="33" t="n"/>
      <c r="E10" s="33" t="n"/>
      <c r="F10" s="33" t="n"/>
    </row>
    <row r="11" ht="15" customHeight="1" s="18">
      <c r="A11" s="24" t="n"/>
      <c r="B11" s="24" t="n"/>
      <c r="C11" s="24" t="n"/>
      <c r="D11" s="33" t="n"/>
      <c r="E11" s="33" t="n"/>
      <c r="F11" s="33" t="n"/>
    </row>
    <row r="12" ht="15" customHeight="1" s="18">
      <c r="A12" s="24" t="n"/>
      <c r="B12" s="24" t="n"/>
      <c r="C12" s="24" t="n"/>
      <c r="D12" s="33" t="n"/>
      <c r="E12" s="33" t="n"/>
      <c r="F12" s="33" t="n"/>
    </row>
    <row r="13" ht="15" customHeight="1" s="18">
      <c r="A13" s="24" t="n"/>
      <c r="B13" s="24" t="n"/>
      <c r="C13" s="24" t="n"/>
      <c r="D13" s="33" t="n"/>
      <c r="E13" s="33" t="n"/>
      <c r="F13" s="33" t="n"/>
    </row>
  </sheetData>
  <mergeCells count="1">
    <mergeCell ref="A1:F1"/>
  </mergeCells>
  <dataValidations count="1">
    <dataValidation sqref="A4:A13" showDropDown="0" showInputMessage="0" showErrorMessage="0" allowBlank="1" type="list" errorStyle="stop" operator="between">
      <formula1>list_entity_type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1"/>
  </sheetPr>
  <dimension ref="A1:I13"/>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5" customWidth="1" style="17" min="1" max="1"/>
    <col width="35" customWidth="1" style="17" min="2" max="2"/>
    <col width="45" customWidth="1" style="17" min="3" max="3"/>
    <col width="35" customWidth="1" style="17" min="4" max="4"/>
    <col width="10" customWidth="1" style="17" min="5" max="5"/>
    <col width="30" customWidth="1" style="17" min="6" max="6"/>
    <col width="18" customWidth="1" style="17" min="7" max="7"/>
    <col width="14" customWidth="1" style="17" min="8" max="8"/>
  </cols>
  <sheetData>
    <row r="1" ht="30" customHeight="1" s="18">
      <c r="A1" s="19" t="inlineStr">
        <is>
          <t>Validation Results — What you found when you tested the model</t>
        </is>
      </c>
    </row>
    <row r="2" ht="15" customHeight="1" s="18">
      <c r="A2" s="20" t="inlineStr">
        <is>
          <t>Result Name</t>
        </is>
      </c>
      <c r="B2" s="20" t="inlineStr">
        <is>
          <t>Identifier / URI</t>
        </is>
      </c>
      <c r="C2" s="20" t="inlineStr">
        <is>
          <t>Description</t>
        </is>
      </c>
      <c r="D2" s="20" t="inlineStr">
        <is>
          <t>Compares To</t>
        </is>
      </c>
      <c r="E2" s="20" t="inlineStr">
        <is>
          <t>Has UQ?</t>
        </is>
      </c>
      <c r="F2" s="20" t="inlineStr">
        <is>
          <t>UQ Method</t>
        </is>
      </c>
      <c r="G2" s="20" t="inlineStr">
        <is>
          <t>Metric Value</t>
        </is>
      </c>
      <c r="H2" s="20" t="inlineStr">
        <is>
          <t>Pass / Fail</t>
        </is>
      </c>
    </row>
    <row r="3" ht="32.8" customHeight="1" s="18">
      <c r="A3" s="39" t="inlineStr">
        <is>
          <t>Mesh Convergence Study</t>
        </is>
      </c>
      <c r="B3" s="39" t="inlineStr">
        <is>
          <t>ValidationResult</t>
        </is>
      </c>
      <c r="C3" s="22" t="inlineStr">
        <is>
          <t>What was done, what was found</t>
        </is>
      </c>
      <c r="D3" s="39" t="inlineStr">
        <is>
          <t>Three-level mesh refinement study (Coarse ~480k, Medium ~1.15M, Fine ~2.9M C3D10 elements) assessing convergence of peak micromotion and stem peak von Mises stress under heel-strike loading. Richardson extrapolation performed to estimate GCI.</t>
        </is>
      </c>
      <c r="E3" s="39" t="inlineStr">
        <is>
          <t>Analytical convergence criterion of &lt;3% change between successive mesh levels; GCI target not explicitly stated</t>
        </is>
      </c>
      <c r="F3" s="39" t="inlineStr">
        <is>
          <t>Yes</t>
        </is>
      </c>
      <c r="G3" s="39" t="inlineStr">
        <is>
          <t>Richardson extrapolation (p = 1.92 fit); Grid Convergence Index reported</t>
        </is>
      </c>
      <c r="H3" s="39" t="inlineStr">
        <is>
          <t>Medium→Fine micromotion change: 8.1% (not &lt;3% as claimed); GCI reported as 1.8% in slides but independently computed as 6.8% from same data; stem stress changes: 732→789→846 MPa (coarse to fine)</t>
        </is>
      </c>
      <c r="I3" s="42" t="inlineStr">
        <is>
          <t>Fail</t>
        </is>
      </c>
    </row>
    <row r="4" ht="15" customHeight="1" s="18">
      <c r="A4" s="41" t="inlineStr">
        <is>
          <t>FEA vs DIC Micromotion Comparison</t>
        </is>
      </c>
      <c r="B4" s="41" t="inlineStr">
        <is>
          <t>ValidationResult</t>
        </is>
      </c>
      <c r="C4" s="33" t="n"/>
      <c r="D4" s="41" t="inlineStr">
        <is>
          <t>Comparison of FEA-predicted RMS micromotion (8 proximal interface markers) against DIC stereocamera measurements on Sawbones 3403 synthetic femur with Rev F stem under matched loading conditions (heel-strike and single-leg stance).</t>
        </is>
      </c>
      <c r="E4" s="41" t="inlineStr">
        <is>
          <t>DIC experimental measurements; headline criterion of FEA within 7% of mean DIC</t>
        </is>
      </c>
      <c r="F4" s="41" t="inlineStr">
        <is>
          <t>No</t>
        </is>
      </c>
      <c r="G4" s="33" t="n"/>
      <c r="H4" s="41" t="inlineStr">
        <is>
          <t>Heel-strike: FEA 38.6 µm vs DIC 45.5 µm (−15% error); Single-leg stance: FEA 26.2 µm vs DIC 28.4 µm (−7.7% error); headline summary states "within 7%" which is contradicted by the heel-strike result</t>
        </is>
      </c>
      <c r="I4" s="42" t="inlineStr">
        <is>
          <t>Fail</t>
        </is>
      </c>
    </row>
    <row r="5" ht="15" customHeight="1" s="18">
      <c r="A5" s="41" t="inlineStr">
        <is>
          <t>Latin Hypercube Sensitivity / UQ Study</t>
        </is>
      </c>
      <c r="B5" s="41" t="inlineStr">
        <is>
          <t>ValidationResult</t>
        </is>
      </c>
      <c r="C5" s="33" t="n"/>
      <c r="D5" s="41" t="inlineStr">
        <is>
          <t>Partial LHS (25 of 100 planned runs) varying five input parameters (E_cortical, E_cancellous, µ, interference fit, abductor force) ±15% on Medium mesh to estimate uncertainty interval on peak micromotion. Four deterministic corner checks also performed.</t>
        </is>
      </c>
      <c r="E5" s="41" t="inlineStr">
        <is>
          <t>Planned N=100 LHS protocol; reported 95% interval target of ±12%</t>
        </is>
      </c>
      <c r="F5" s="41" t="inlineStr">
        <is>
          <t>Yes</t>
        </is>
      </c>
      <c r="G5" s="41" t="inlineStr">
        <is>
          <t>Latin hypercube sampling; bootstrap 95% confidence interval; coefficient of variation</t>
        </is>
      </c>
      <c r="H5" s="41" t="inlineStr">
        <is>
          <t>Reported 95% interval ±12%; actual 25-run filtered set shows CV=9.6%, min/max excursions −18%/+21% vs baseline, bootstrap 95% half-width 14–16%; model-form variant (proximal tie vs full friction) shifts mean −19% and was excluded from UQ</t>
        </is>
      </c>
      <c r="I5" s="42" t="inlineStr">
        <is>
          <t>Inconclusive</t>
        </is>
      </c>
    </row>
    <row r="6" ht="15" customHeight="1" s="18">
      <c r="A6" s="41" t="inlineStr">
        <is>
          <t>Contact Pressure Footprint Qualitative Check</t>
        </is>
      </c>
      <c r="B6" s="41" t="inlineStr">
        <is>
          <t>ValidationResult</t>
        </is>
      </c>
      <c r="C6" s="33" t="n"/>
      <c r="D6" s="41" t="inlineStr">
        <is>
          <t>Qualitative comparison of FEA contact pressure footprint against ink-transfer patterns from bench press-fit of Rev F stem into synthetic femur. Slip hotspot locations compared between FEA (medial–proximal 30–45 µm) and bench DIC (lateral 25–35 µm).</t>
        </is>
      </c>
      <c r="E6" s="41" t="inlineStr">
        <is>
          <t>Ink-transfer bench test and DIC slip hotspot locations</t>
        </is>
      </c>
      <c r="F6" s="41" t="inlineStr">
        <is>
          <t>No</t>
        </is>
      </c>
      <c r="G6" s="33" t="n"/>
      <c r="H6" s="41" t="inlineStr">
        <is>
          <t>General shape consistent proximally; hotspot location discrepancy — FEA medial–proximal vs experiment lateral</t>
        </is>
      </c>
      <c r="I6" s="42" t="inlineStr">
        <is>
          <t>Inconclusive</t>
        </is>
      </c>
    </row>
    <row r="7" ht="15" customHeight="1" s="18">
      <c r="A7" s="41" t="inlineStr">
        <is>
          <t>Vendor Benchmark Code Verification</t>
        </is>
      </c>
      <c r="B7" s="41" t="inlineStr">
        <is>
          <t>ValidationResult</t>
        </is>
      </c>
      <c r="C7" s="33" t="n"/>
      <c r="D7" s="41" t="inlineStr">
        <is>
          <t>Abaqus/Standard 2021 HF7 installation tested against vendor-supplied benchmarks: linear elasticity, Hertz contact, and cantilever reference cases.</t>
        </is>
      </c>
      <c r="E7" s="41" t="inlineStr">
        <is>
          <t>Analytical reference solutions provided by vendor</t>
        </is>
      </c>
      <c r="F7" s="41" t="inlineStr">
        <is>
          <t>No</t>
        </is>
      </c>
      <c r="G7" s="33" t="n"/>
      <c r="H7" s="41" t="inlineStr">
        <is>
          <t>Maximum error 0.6% across three benchmark cases</t>
        </is>
      </c>
      <c r="I7" s="42" t="inlineStr">
        <is>
          <t>Pass</t>
        </is>
      </c>
    </row>
    <row r="8" ht="15" customHeight="1" s="18">
      <c r="A8" s="24" t="n"/>
      <c r="B8" s="24" t="n"/>
      <c r="C8" s="33" t="n"/>
      <c r="D8" s="33" t="n"/>
      <c r="E8" s="25" t="n"/>
      <c r="F8" s="33" t="n"/>
      <c r="G8" s="33" t="n"/>
      <c r="H8" s="33" t="n"/>
    </row>
    <row r="9" ht="15" customHeight="1" s="18">
      <c r="A9" s="24" t="n"/>
      <c r="B9" s="24" t="n"/>
      <c r="C9" s="33" t="n"/>
      <c r="D9" s="33" t="n"/>
      <c r="E9" s="25" t="n"/>
      <c r="F9" s="33" t="n"/>
      <c r="G9" s="33" t="n"/>
      <c r="H9" s="33" t="n"/>
    </row>
    <row r="10" ht="15" customHeight="1" s="18">
      <c r="A10" s="24" t="n"/>
      <c r="B10" s="24" t="n"/>
      <c r="C10" s="33" t="n"/>
      <c r="D10" s="33" t="n"/>
      <c r="E10" s="25" t="n"/>
      <c r="F10" s="33" t="n"/>
      <c r="G10" s="33" t="n"/>
      <c r="H10" s="33" t="n"/>
    </row>
    <row r="11" ht="15" customHeight="1" s="18">
      <c r="A11" s="24" t="n"/>
      <c r="B11" s="24" t="n"/>
      <c r="C11" s="33" t="n"/>
      <c r="D11" s="33" t="n"/>
      <c r="E11" s="25" t="n"/>
      <c r="F11" s="33" t="n"/>
      <c r="G11" s="33" t="n"/>
      <c r="H11" s="33" t="n"/>
    </row>
    <row r="12" ht="15" customHeight="1" s="18">
      <c r="A12" s="24" t="n"/>
      <c r="B12" s="24" t="n"/>
      <c r="C12" s="33" t="n"/>
      <c r="D12" s="33" t="n"/>
      <c r="E12" s="25" t="n"/>
      <c r="F12" s="33" t="n"/>
      <c r="G12" s="33" t="n"/>
      <c r="H12" s="33" t="n"/>
    </row>
    <row r="13" ht="15" customHeight="1" s="18">
      <c r="A13" s="24" t="n"/>
      <c r="B13" s="24" t="n"/>
      <c r="C13" s="33" t="n"/>
      <c r="D13" s="33" t="n"/>
      <c r="E13" s="25" t="n"/>
      <c r="F13" s="33" t="n"/>
      <c r="G13" s="33" t="n"/>
      <c r="H13" s="33" t="n"/>
    </row>
  </sheetData>
  <mergeCells count="1">
    <mergeCell ref="A1:H1"/>
  </mergeCells>
  <dataValidations count="2">
    <dataValidation sqref="E4:E13" showDropDown="0" showInputMessage="0" showErrorMessage="0" allowBlank="1" type="list" errorStyle="stop" operator="between">
      <formula1>list_has_uq</formula1>
      <formula2>0</formula2>
    </dataValidation>
    <dataValidation sqref="H4:H13" showDropDown="0" showInputMessage="0" showErrorMessage="0" allowBlank="1" type="list" errorStyle="stop" operator="between">
      <formula1>list_pass_fail</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outlinePr summaryBelow="1" summaryRight="1"/>
    <pageSetUpPr fitToPage="1"/>
  </sheetPr>
  <dimension ref="A1:H17"/>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25" customWidth="1" style="17" min="2" max="2"/>
    <col width="16" customWidth="1" style="17" min="3" max="4"/>
    <col width="40" customWidth="1" style="17" min="5" max="5"/>
    <col width="12" customWidth="1" style="17" min="6" max="6"/>
    <col width="22" customWidth="1" style="18" min="8" max="8"/>
  </cols>
  <sheetData>
    <row r="1" ht="30" customHeight="1" s="18">
      <c r="A1" s="19" t="inlineStr">
        <is>
          <t>Credibility Factors — V&amp;V 40 Table 5-1 Assessment</t>
        </is>
      </c>
    </row>
    <row r="2" ht="30" customHeight="1" s="18">
      <c r="A2" s="34" t="inlineStr">
        <is>
          <t>Complete profile only. Assess each relevant factor: set Required Level (goal given model risk) and Achieved Level (what evidence supports).</t>
        </is>
      </c>
    </row>
    <row r="3" ht="15" customHeight="1" s="18">
      <c r="A3" s="20" t="inlineStr">
        <is>
          <t>Factor Type</t>
        </is>
      </c>
      <c r="B3" s="20" t="inlineStr">
        <is>
          <t>Category</t>
        </is>
      </c>
      <c r="C3" s="20" t="inlineStr">
        <is>
          <t>Required Level</t>
        </is>
      </c>
      <c r="D3" s="20" t="inlineStr">
        <is>
          <t>Achieved Level</t>
        </is>
      </c>
      <c r="E3" s="21" t="inlineStr">
        <is>
          <t>Acceptance Criteria</t>
        </is>
      </c>
      <c r="F3" s="20" t="inlineStr">
        <is>
          <t>Rationale</t>
        </is>
      </c>
      <c r="G3" s="20" t="inlineStr">
        <is>
          <t>Factor Status</t>
        </is>
      </c>
      <c r="H3" s="37" t="inlineStr">
        <is>
          <t>Linked Evidence</t>
        </is>
      </c>
    </row>
    <row r="4" ht="22.35" customHeight="1" s="18">
      <c r="A4" s="22" t="inlineStr">
        <is>
          <t>V&amp;V 40 factor (pre-filled, do not edit)</t>
        </is>
      </c>
      <c r="B4" s="22" t="inlineStr">
        <is>
          <t>Grouping (pre-filled)</t>
        </is>
      </c>
      <c r="C4" s="22" t="inlineStr">
        <is>
          <t>Credibility goal for this factor (1-5)</t>
        </is>
      </c>
      <c r="D4" s="22" t="inlineStr">
        <is>
          <t>Level achieved by evidence (1-5)</t>
        </is>
      </c>
      <c r="E4" s="23" t="inlineStr">
        <is>
          <t>Goal and basis for the required level (from V&amp;V 40 Tables 3-4)</t>
        </is>
      </c>
      <c r="F4" s="22" t="inlineStr">
        <is>
          <t>Brief justification (esp. if achieved &lt; required)</t>
        </is>
      </c>
      <c r="G4" s="22" t="inlineStr">
        <is>
          <t>assessed / not-assessed / scoped-out / not-applicable</t>
        </is>
      </c>
      <c r="H4" s="38" t="inlineStr">
        <is>
          <t>URI of validation result that supports this factor (optional)</t>
        </is>
      </c>
    </row>
    <row r="5" ht="15" customHeight="1" s="18">
      <c r="A5" s="35" t="inlineStr">
        <is>
          <t>Software quality assurance</t>
        </is>
      </c>
      <c r="B5" s="36" t="inlineStr">
        <is>
          <t>Verification — Code</t>
        </is>
      </c>
      <c r="C5" s="41" t="n">
        <v>3</v>
      </c>
      <c r="D5" s="41" t="n">
        <v>2</v>
      </c>
      <c r="E5" s="42" t="inlineStr">
        <is>
          <t>Commercial solver with documented installation qualification; version control on production runs; consistent solver version across study</t>
        </is>
      </c>
      <c r="F5" s="41" t="inlineStr">
        <is>
          <t>Abaqus/Standard is a well-established commercial solver with vendor verification documentation. Installation benchmarks (linear elasticity, Hertz contact, cantilever) passed at max 0.6% error. Input decks and scripts are archived in Vault PDM (rev tags r3–r7) with MLFlow parameter tracking. However, 13 of 44 production runs were executed on a different solver version (2022 GA vs 2021 HF7) due to license outage, with no side-by-side confirmation of equivalence. A custom USDFLD field subroutine for porous layer stiffness grading has no documented unit test. Three runs are missing post-processing artifacts. The mixed-version execution and untested custom subroutine represent notable gaps in SQA for this study.</t>
        </is>
      </c>
      <c r="G5" s="41" t="inlineStr">
        <is>
          <t>assessed</t>
        </is>
      </c>
    </row>
    <row r="6" ht="15" customHeight="1" s="18">
      <c r="A6" s="36" t="inlineStr">
        <is>
          <t>Numerical code verification</t>
        </is>
      </c>
      <c r="B6" s="36" t="inlineStr">
        <is>
          <t>Verification — Code</t>
        </is>
      </c>
      <c r="C6" s="41" t="n">
        <v>3</v>
      </c>
      <c r="D6" s="41" t="n">
        <v>2</v>
      </c>
      <c r="E6" s="42" t="inlineStr">
        <is>
          <t>Code verified against analytical solutions relevant to the physics of interest, including contact and nonlinear geometry</t>
        </is>
      </c>
      <c r="F6" s="41" t="inlineStr">
        <is>
          <t>Vendor benchmarks (linear elasticity, Hertz contact, cantilever) passed at max 0.6% error for the 2021 HF7 installation. These cover some relevant physics (contact, elasticity). However, no verification is documented for the nonlinear geometry (NLGEOM) regime, the bilinear plastic material model, or the USDFLD custom subroutine used to grade porous coating stiffness. No method of manufactured solutions or independent benchmark problems specific to press-fit contact mechanics were performed. Coverage is partial relative to the physics encoded in the model.</t>
        </is>
      </c>
      <c r="G6" s="41" t="inlineStr">
        <is>
          <t>assessed</t>
        </is>
      </c>
    </row>
    <row r="7" ht="15" customHeight="1" s="18">
      <c r="A7" s="35" t="inlineStr">
        <is>
          <t>Discretization error</t>
        </is>
      </c>
      <c r="B7" s="36" t="inlineStr">
        <is>
          <t>Verification — Calculation</t>
        </is>
      </c>
      <c r="C7" s="41" t="n">
        <v>3</v>
      </c>
      <c r="D7" s="41" t="n">
        <v>2</v>
      </c>
      <c r="E7" s="42" t="inlineStr">
        <is>
          <t>Mesh convergence demonstrated with &lt;3% change between successive refinement levels for the primary QoI; GCI computed and consistent with claimed value</t>
        </is>
      </c>
      <c r="F7" s="41" t="inlineStr">
        <is>
          <t>A three-level mesh refinement study was performed (Coarse 480k, Medium 1.15M, Fine 2.9M C3D10 elements). However, the Medium→Fine change in peak micromotion is 8.1%, not the 3% claimed in the Methods section. The reported GCI of 1.8% is inconsistent with the value of 6.8% computed from the same datasets using the same p-fit. Stem peak stress increases monotonically (732→789→846 MPa) without convergence. Ninety-eight elements with aspect ratio &gt;5 were retained near the calcar. Production sampling runs used the Medium mesh while Fine was reserved for headline plots only. These inconsistencies prevent confident bounding of discretization error.</t>
        </is>
      </c>
      <c r="G7" s="41" t="inlineStr">
        <is>
          <t>assessed</t>
        </is>
      </c>
    </row>
    <row r="8" ht="15" customHeight="1" s="18">
      <c r="A8" s="36" t="inlineStr">
        <is>
          <t>Numerical solver error</t>
        </is>
      </c>
      <c r="B8" s="36" t="inlineStr">
        <is>
          <t>Verification — Calculation</t>
        </is>
      </c>
      <c r="C8" s="41" t="n">
        <v>2</v>
      </c>
      <c r="D8" s="41" t="n">
        <v>2</v>
      </c>
      <c r="E8" s="42" t="inlineStr">
        <is>
          <t>Iterative solver convergence monitored; residual targets met; contact stabilization settings documented and justified</t>
        </is>
      </c>
      <c r="F8" s="41" t="inlineStr">
        <is>
          <t>Abaqus/Standard full Newton with line search was used. Contact stabilization factor 0.0002 was applied in some runs. One stability run used an explicit penalty stiffness (kn = 1.0e8 N/mm) that reduced predicted slip by ~22% vs auto, an undiscussed sensitivity. A preprocessing note on RunSet_12 deactivates geometric stiffness ("Small strain OK") inconsistently with the stated NLGEOM-on setting. Solver convergence monitoring is implied by the use of standard Abaqus settings, but no explicit residual targets or convergence history documentation is provided. Three runs diverged at high µ in the LHS study. Evidence is basic and has notable inconsistencies.</t>
        </is>
      </c>
      <c r="G8" s="41" t="inlineStr">
        <is>
          <t>assessed</t>
        </is>
      </c>
    </row>
    <row r="9" ht="15" customHeight="1" s="18">
      <c r="A9" s="36" t="inlineStr">
        <is>
          <t>Use error</t>
        </is>
      </c>
      <c r="B9" s="36" t="inlineStr">
        <is>
          <t>Verification — Calculation</t>
        </is>
      </c>
      <c r="C9" s="41" t="n">
        <v>3</v>
      </c>
      <c r="D9" s="41" t="n">
        <v>2</v>
      </c>
      <c r="E9" s="42" t="inlineStr">
        <is>
          <t>Independent review of model setup, boundary conditions, contact definitions, and post-processing; consistent application of settings across all production runs</t>
        </is>
      </c>
      <c r="F9" s="41" t="inlineStr">
        <is>
          <t>An internal read-across review was performed by Dr. C. Len; however, he authored the contact sensitivity section and recused from final sign-off per QA note, yet his name appears on the approval slide — creating an independence concern. Multiple inconsistencies in model setup were identified in the evidence: (1) full-friction contact stated in Methods but proximal third is tied in the validation case; (2) NLGEOM stated as on but deactivated in RunSet_12; (3) distal constraint varies between encastre and elastic foundation springs across runs without systematic documentation; (4) mixed solver versions without confirmation of equivalence. These use errors are documented as open issues but not resolved.</t>
        </is>
      </c>
      <c r="G9" s="41" t="inlineStr">
        <is>
          <t>assessed</t>
        </is>
      </c>
    </row>
    <row r="10" ht="15" customHeight="1" s="18">
      <c r="A10" s="35" t="inlineStr">
        <is>
          <t>Model form</t>
        </is>
      </c>
      <c r="B10" s="36" t="inlineStr">
        <is>
          <t>Validation — Model</t>
        </is>
      </c>
      <c r="C10" s="41" t="n">
        <v>3</v>
      </c>
      <c r="D10" s="41" t="n">
        <v>2</v>
      </c>
      <c r="E10" s="42" t="inlineStr">
        <is>
          <t>Governing equations and constitutive models justified for the physics regime; known limitations documented; sensitivity to model-form choices quantified</t>
        </is>
      </c>
      <c r="F10" s="41" t="inlineStr">
        <is>
          <t>The choice of Abaqus/Standard static general with surface-to-surface finite-sliding contact is physically motivated for press-fit micromotion analysis. Isotropic linear elastic bone properties and bilinear plastic Ti-6Al-4V are standard approaches. Known limitations are partially documented (Slide 12): absolute micromotion dependence on contact penalty, plasticity inconsistency across runs, distal constraint variant effects. However, the orthotropic bone model trialed in RunSet_07 was not carried forward due to meshing pipeline limits rather than physical justification. The proximal tie constraint vs full friction model-form choice shifts predicted micromotion by −19% and is excluded from the UQ ensemble, representing an unquantified model-form uncertainty. Liner and acetabular effects are absent and not assessed.</t>
        </is>
      </c>
      <c r="G10" s="41" t="inlineStr">
        <is>
          <t>assessed</t>
        </is>
      </c>
    </row>
    <row r="11" ht="15" customHeight="1" s="18">
      <c r="A11" s="36" t="inlineStr">
        <is>
          <t>Model inputs</t>
        </is>
      </c>
      <c r="B11" s="36" t="inlineStr">
        <is>
          <t>Validation — Model</t>
        </is>
      </c>
      <c r="C11" s="41" t="n">
        <v>3</v>
      </c>
      <c r="D11" s="41" t="n">
        <v>2</v>
      </c>
      <c r="E11" s="42" t="inlineStr">
        <is>
          <t>Material properties traceable to testing or well-characterized literature sources; boundary conditions from measurements; geometric inputs from CMM/QA; input uncertainties characterized</t>
        </is>
      </c>
      <c r="F11" s="41" t="inlineStr">
        <is>
          <t>Cortical bone modulus (15.5 GPa) and cancellous modulus (420 MPa) are sourced from published literature (Reilly, Carter) with ranges documented (cortical 14–18 GPa, cancellous 0.3–0.6 GPa). Hip contact loads are from the Bergmann dataset. Geometry is CT-derived (DigitalFemur-42). However, the ±20 µm interference fit tolerance identified by QA was not modeled. Friction coefficient µ = 0.30 is from literature but was adjusted (0.22–0.34) to match insertion force, and this calibrated value was also used in the independent validation comparison — conflating calibration and validation data. Load application uses only static peaks from the Bergmann dataset with no dynamic or cyclic loading. Input uncertainty was partially explored through the incomplete LHS but not fully propagated.</t>
        </is>
      </c>
      <c r="G11" s="41" t="inlineStr">
        <is>
          <t>assessed</t>
        </is>
      </c>
    </row>
    <row r="12" ht="15" customHeight="1" s="18">
      <c r="A12" s="35" t="inlineStr">
        <is>
          <t>Test samples</t>
        </is>
      </c>
      <c r="B12" s="36" t="inlineStr">
        <is>
          <t>Validation — Comparator</t>
        </is>
      </c>
      <c r="C12" s="41" t="n">
        <v>2</v>
      </c>
      <c r="D12" s="41" t="n">
        <v>2</v>
      </c>
      <c r="E12" s="42" t="inlineStr">
        <is>
          <t>Adequate number of test specimens; production-representative samples; statistical characterization of sample variability</t>
        </is>
      </c>
      <c r="F12" s="41" t="inlineStr">
        <is>
          <t>Validation used a single Sawbones 3403 synthetic femur with the Rev F stem (Slide 9). Only one specimen is referenced; no replicate tests or statistical characterization of sample variability are documented. Sawbones synthetic femurs are commercially standardized and accepted in orthopaedic biomechanics research as a repeatable surrogate, which partially offsets the single-specimen limitation. No information is provided on stem specimen traceability or whether it is production-representative. The single specimen limits the statistical basis for validation inference.</t>
        </is>
      </c>
      <c r="G12" s="41" t="inlineStr">
        <is>
          <t>assessed</t>
        </is>
      </c>
    </row>
    <row r="13" ht="15" customHeight="1" s="18">
      <c r="A13" s="36" t="inlineStr">
        <is>
          <t>Test conditions</t>
        </is>
      </c>
      <c r="B13" s="36" t="inlineStr">
        <is>
          <t>Validation — Comparator</t>
        </is>
      </c>
      <c r="C13" s="41" t="n">
        <v>3</v>
      </c>
      <c r="D13" s="41" t="n">
        <v>2</v>
      </c>
      <c r="E13" s="42" t="inlineStr">
        <is>
          <t>Calibrated instruments; controlled and documented test environment; measurement uncertainty quantified; test protocol following recognized standards</t>
        </is>
      </c>
      <c r="F13" s="41" t="inlineStr">
        <is>
          <t>DIC stereocameras at 7 µm/pixel resolution were used for micromotion measurement (Slide 9). Potting at distal 45 mm is documented. Loading applied via 2 kN axial plus abductor cable. However, measurement uncertainty is not quantified beyond the stated pixel resolution. No instrument calibration records or traceability to ASTM/ISO standards are cited. The test conditions differ from the FEA load case (2 kN validation test vs 3.0 kN FEA load case), which is an unresolved gap. Environmental controls are not documented. The same operator and rig used for friction calibration performed the DIC comparison two days later, raising concerns about experimental independence.</t>
        </is>
      </c>
      <c r="G13" s="41" t="inlineStr">
        <is>
          <t>assessed</t>
        </is>
      </c>
    </row>
    <row r="14" ht="15" customHeight="1" s="18">
      <c r="A14" s="35" t="inlineStr">
        <is>
          <t>Equivalency of input parameters</t>
        </is>
      </c>
      <c r="B14" s="36" t="inlineStr">
        <is>
          <t>Validation — Assessment</t>
        </is>
      </c>
      <c r="C14" s="41" t="n">
        <v>3</v>
      </c>
      <c r="D14" s="41" t="n">
        <v>1</v>
      </c>
      <c r="E14" s="42" t="inlineStr">
        <is>
          <t>FEA boundary conditions matched to experimental conditions; any differences between test and model inputs documented and their effect on QoI quantified</t>
        </is>
      </c>
      <c r="F14" s="41" t="inlineStr">
        <is>
          <t>The FEA validation run uses the Medium mesh with the proximal third tied (not full friction), while the production design runs use full friction — a 19% difference in predicted micromotion. The FEA production load case is 3.0 kN joint reaction while the validation test used 2 kN axial; no explicit load-matched validation run is documented. The friction coefficient used in the validation FEA was calibrated from the same rig's insertion force data, not set independently. The ±20 µm interference tolerance is not modeled. Distal constraint boundary conditions differ between runs. These discrepancies between test and model inputs are identified as open issues but are not quantitatively reconciled, making input parameter equivalency poorly established.</t>
        </is>
      </c>
      <c r="G14" s="41" t="inlineStr">
        <is>
          <t>assessed</t>
        </is>
      </c>
    </row>
    <row r="15" ht="15" customHeight="1" s="18">
      <c r="A15" s="36" t="inlineStr">
        <is>
          <t>Output comparison</t>
        </is>
      </c>
      <c r="B15" s="36" t="inlineStr">
        <is>
          <t>Validation — Assessment</t>
        </is>
      </c>
      <c r="C15" s="41" t="n">
        <v>3</v>
      </c>
      <c r="D15" s="41" t="n">
        <v>2</v>
      </c>
      <c r="E15" s="42" t="inlineStr">
        <is>
          <t>Quantitative comparison of FEA predictions to experimental measurements; uncertainty bands on both model and experiment; multiple comparison points; statistical validation metrics</t>
        </is>
      </c>
      <c r="F15" s="41" t="inlineStr">
        <is>
          <t>RMS micromotion over 8 markers is compared between FEA and DIC for two load cases. Heel-strike: FEA 38.6 µm vs DIC 45.5 µm (−15% error). Single-leg stance: FEA 26.2 µm vs DIC 28.4 µm (−7.7%). The headline summary claims "within 7%" which misrepresents the heel-strike result. No experimental uncertainty bands are reported. No statistical validation metric (e.g., TOST, U-value) is applied. Slip hotspot locations show a spatial discrepancy (FEA medial–proximal vs DIC lateral). Comparison is limited to two load cases and one specimen. The absolute error in the higher-load case (15%) approaches the safety margin required for the 40 µm threshold decision. Quantitative comparison exists but has significant gaps and inconsistencies.</t>
        </is>
      </c>
      <c r="G15" s="41" t="inlineStr">
        <is>
          <t>assessed</t>
        </is>
      </c>
    </row>
    <row r="16" ht="15" customHeight="1" s="18">
      <c r="A16" s="35" t="inlineStr">
        <is>
          <t>Relevance of the quantities of interest</t>
        </is>
      </c>
      <c r="B16" s="36" t="inlineStr">
        <is>
          <t>Applicability</t>
        </is>
      </c>
      <c r="C16" s="41" t="n">
        <v>3</v>
      </c>
      <c r="D16" s="41" t="n">
        <v>3</v>
      </c>
      <c r="E16" s="42" t="inlineStr">
        <is>
          <t>QoI (peak interface micromotion) directly addresses the safety and performance concern; measurable both computationally and experimentally</t>
        </is>
      </c>
      <c r="F16" s="41" t="inlineStr">
        <is>
          <t>Peak relative micromotion at the proximal bone–implant interface is the established biomechanical surrogate for osseointegration risk in cementless stems, with the 40 µm threshold grounded in the published literature and clinical practice. The primary QoI is the same quantity measured experimentally (DIC) and predicted computationally (FEA nodal relative displacement). Secondary QoIs (stem von Mises stress, contact pressure distribution) are also clinically and structurally relevant. The QoI is well-chosen and directly linked to the decision context.</t>
        </is>
      </c>
      <c r="G16" s="41" t="inlineStr">
        <is>
          <t>assessed</t>
        </is>
      </c>
    </row>
    <row r="17" ht="15" customHeight="1" s="18">
      <c r="A17" s="36" t="inlineStr">
        <is>
          <t>Relevance of the validation activities to the COU</t>
        </is>
      </c>
      <c r="B17" s="36" t="inlineStr">
        <is>
          <t>Applicability</t>
        </is>
      </c>
      <c r="C17" s="41" t="n">
        <v>3</v>
      </c>
      <c r="D17" s="41" t="n">
        <v>2</v>
      </c>
      <c r="E17" s="42" t="inlineStr">
        <is>
          <t>Validation conditions (geometry, loading, material, scale) match the intended clinical and mechanical use envelope; gaps between validation and COU are documented and bounded</t>
        </is>
      </c>
      <c r="F17" s="41" t="inlineStr">
        <is>
          <t>Validation used the actual Rev F stem in a Sawbones 3403 synthetic femur, which is relevant geometry. The loading direction and constraint configuration partially match the COU. However, several gaps limit relevance: (1) validation load is 2 kN vs COU load of 3.0 kN — higher loads are not validated; (2) torsional stumble and dynamic oscillations are excluded from both validation and COU scope, which is acceptable but noted; (3) the proximal tie constraint used in validation is not consistent with the full-friction production model; (4) only one bone geometry (DigitalFemur-42) is used, with no assessment of intersubject variability; (5) Sawbones foam does not fully replicate in vivo bone heterogeneity. The validation activities cover the general regime of interest but leave meaningful gaps at the upper end of the load envelope and in model-form consistency.</t>
        </is>
      </c>
      <c r="G17" s="41" t="inlineStr">
        <is>
          <t>assessed</t>
        </is>
      </c>
    </row>
  </sheetData>
  <mergeCells count="2">
    <mergeCell ref="A2:F2"/>
    <mergeCell ref="A1:F1"/>
  </mergeCells>
  <dataValidations count="2">
    <dataValidation sqref="C5:D17" showDropDown="0" showInputMessage="0" showErrorMessage="0" allowBlank="1" type="list" errorStyle="stop" operator="between">
      <formula1>list_factor_level</formula1>
      <formula2>0</formula2>
    </dataValidation>
    <dataValidation sqref="F5:F17" showDropDown="0" showInputMessage="0" showErrorMessage="0" allowBlank="1" type="list" errorStyle="stop" operator="between">
      <formula1>list_assessed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outlinePr summaryBelow="1" summaryRight="1"/>
    <pageSetUpPr fitToPage="1"/>
  </sheetPr>
  <dimension ref="A1:E4"/>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60" customWidth="1" style="17" min="2" max="2"/>
    <col width="22" customWidth="1" style="17" min="3" max="3"/>
    <col width="25" customWidth="1" style="17" min="4" max="4"/>
    <col width="16" customWidth="1" style="17" min="5" max="5"/>
  </cols>
  <sheetData>
    <row r="1" ht="30" customHeight="1" s="18">
      <c r="A1" s="19" t="inlineStr">
        <is>
          <t>Decision — The credibility judgment</t>
        </is>
      </c>
    </row>
    <row r="2" ht="15" customHeight="1" s="18">
      <c r="A2" s="20" t="inlineStr">
        <is>
          <t>Decision Outcome</t>
        </is>
      </c>
      <c r="B2" s="20" t="inlineStr">
        <is>
          <t>Decision Rationale</t>
        </is>
      </c>
      <c r="C2" s="20" t="inlineStr">
        <is>
          <t>Criteria Set</t>
        </is>
      </c>
      <c r="D2" s="20" t="inlineStr">
        <is>
          <t>Decided By</t>
        </is>
      </c>
      <c r="E2" s="20" t="inlineStr">
        <is>
          <t>Decision Date</t>
        </is>
      </c>
    </row>
    <row r="3" ht="22.35" customHeight="1" s="18">
      <c r="A3" s="39" t="inlineStr">
        <is>
          <t>Not accepted</t>
        </is>
      </c>
      <c r="B3" s="39" t="inlineStr">
        <is>
          <t>The model is not accepted for its stated purpose of absolute acceptance decision-making against the 40 µm micromotion threshold. Multiple credibility factors fall below the required level for MRL 3: (1) Mesh convergence fails the &lt;3% criterion (8.1% change Medium→Fine) and the GCI is internally inconsistent (1.8% reported vs 6.8% computed); (2) Validation shows up to 15% absolute error in the higher-load heel-strike case, directly relevant to the threshold decision; (3) Model setup contains unresolved inconsistencies — contact treatment (tie vs full friction, 19% effect), solver version (2021 vs 2022, unconfirmed equivalence), NLGEOM activation, and distal constraint strategy vary across runs without systematic justification; (4) The validation dataset is not independent — the same operator and rig used for friction calibration conducted the DIC comparison, and the calibrated µ value was used in the validation FEA; (5) The UQ study is incomplete (25 of 100 planned LHS runs) and excludes the largest identified model-form sensitivity (contact treatment). Per the study's own Slide 14 recommendation and the gate review takeaways (Slide 15), the model is suitable only for comparative design ranking under consistent assumptions. Acceptance for absolute pass/fail against the 40 µm criterion is withheld pending: resolution of contact treatment inconsistency and re-running of validation with consistent settings; locking to a single solver version with cross-version confirmation; completion of mesh convergence to &lt;3% with consistent p-fit; acquisition of a truly independent DIC dataset; and completion of the planned N=100 LHS including contact penalty strategy as a model-form factor.</t>
        </is>
      </c>
      <c r="C3" s="22" t="inlineStr">
        <is>
          <t>Auto-filled from Assessment Summary</t>
        </is>
      </c>
      <c r="D3" s="22" t="n"/>
      <c r="E3" s="22" t="n"/>
    </row>
    <row r="4" ht="15" customHeight="1" s="18">
      <c r="A4" s="24" t="n"/>
      <c r="B4" s="24" t="n"/>
      <c r="C4" s="25">
        <f>'Assessment Summary'!H4</f>
        <v/>
      </c>
      <c r="D4" s="25" t="n"/>
      <c r="E4" s="33" t="n"/>
    </row>
  </sheetData>
  <mergeCells count="1">
    <mergeCell ref="A1:E1"/>
  </mergeCells>
  <dataValidations count="1">
    <dataValidation sqref="A4" showDropDown="0" showInputMessage="0" showErrorMessage="0" allowBlank="0" error="Select Accepted, Not accepted, or Conditional" type="list" errorStyle="stop" operator="between">
      <formula1>list_decision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2026-03-31T17:48:36Z</dcterms:created>
  <dcterms:modified xmlns:dcterms="http://purl.org/dc/terms/" xmlns:xsi="http://www.w3.org/2001/XMLSchema-instance" xsi:type="dcterms:W3CDTF">2026-08-06T08:21:53Z</dcterms:modified>
  <cp:revision>0</cp:revision>
</cp:coreProperties>
</file>