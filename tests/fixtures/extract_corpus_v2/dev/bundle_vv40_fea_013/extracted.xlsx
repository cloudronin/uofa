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ssessment Summary" sheetId="1" state="visible" r:id="rId1"/>
    <sheet xmlns:r="http://schemas.openxmlformats.org/officeDocument/2006/relationships" name="Instructions" sheetId="2" state="visible" r:id="rId2"/>
    <sheet xmlns:r="http://schemas.openxmlformats.org/officeDocument/2006/relationships" name="_Lists" sheetId="3" state="hidden" r:id="rId3"/>
    <sheet xmlns:r="http://schemas.openxmlformats.org/officeDocument/2006/relationships" name="Model &amp; Data" sheetId="4" state="visible" r:id="rId4"/>
    <sheet xmlns:r="http://schemas.openxmlformats.org/officeDocument/2006/relationships" name="Validation Results" sheetId="5" state="visible" r:id="rId5"/>
    <sheet xmlns:r="http://schemas.openxmlformats.org/officeDocument/2006/relationships" name="Credibility Factors" sheetId="6" state="visible" r:id="rId6"/>
    <sheet xmlns:r="http://schemas.openxmlformats.org/officeDocument/2006/relationships" name="Decision" sheetId="7" state="visible" r:id="rId7"/>
  </sheets>
  <definedNames>
    <definedName name="list_assessed" hidden="0" function="0" vbProcedure="0">_Lists!$J$2:$J$4</definedName>
    <definedName name="list_assurance" hidden="0" function="0" vbProcedure="0">_Lists!$D$2:$D$4</definedName>
    <definedName name="list_decision" hidden="0" function="0" vbProcedure="0">_Lists!$K$2:$K$4</definedName>
    <definedName name="list_device_class" hidden="0" function="0" vbProcedure="0">_Lists!$B$2:$B$10</definedName>
    <definedName name="list_entity_type" hidden="0" function="0" vbProcedure="0">_Lists!$F$2:$F$4</definedName>
    <definedName name="list_factor_level" hidden="0" function="0" vbProcedure="0">_Lists!$I$2:$I$5</definedName>
    <definedName name="list_has_uq" hidden="0" function="0" vbProcedure="0">_Lists!$G$2:$G$3</definedName>
    <definedName name="list_mrl" hidden="0" function="0" vbProcedure="0">_Lists!$C$2:$C$6</definedName>
    <definedName name="list_pass_fail" hidden="0" function="0" vbProcedure="0">_Lists!$H$2:$H$5</definedName>
    <definedName name="list_profile" hidden="0" function="0" vbProcedure="0">_Lists!$A$2:$A$3</definedName>
    <definedName name="list_standards" hidden="0" function="0" vbProcedure="0">_Lists!$E$2:$E$5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B4F72"/>
      <sz val="14"/>
    </font>
    <font>
      <name val="Arial"/>
      <charset val="1"/>
      <family val="0"/>
      <b val="1"/>
      <color rgb="FFFFFFFF"/>
      <sz val="10"/>
    </font>
    <font>
      <name val="Arial"/>
      <charset val="1"/>
      <family val="0"/>
      <i val="1"/>
      <color rgb="FF666666"/>
      <sz val="9"/>
    </font>
    <font>
      <name val="Arial"/>
      <charset val="1"/>
      <family val="0"/>
      <sz val="10"/>
    </font>
    <font>
      <name val="Arial"/>
      <charset val="1"/>
      <family val="0"/>
      <b val="1"/>
      <sz val="9"/>
    </font>
    <font>
      <name val="Arial"/>
      <charset val="1"/>
      <family val="0"/>
      <sz val="9"/>
    </font>
    <font>
      <name val="Arial"/>
      <charset val="1"/>
      <family val="0"/>
      <b val="1"/>
      <color rgb="FF1B4F72"/>
      <sz val="10"/>
    </font>
    <font>
      <name val="Cambria"/>
      <charset val="1"/>
      <family val="0"/>
      <b val="1"/>
      <sz val="11"/>
    </font>
    <font>
      <name val="Arial"/>
      <charset val="1"/>
      <family val="0"/>
      <i val="1"/>
      <color rgb="FF555555"/>
      <sz val="10"/>
    </font>
    <font>
      <name val="Arial"/>
      <charset val="1"/>
      <family val="0"/>
      <b val="1"/>
      <sz val="10"/>
    </font>
    <font>
      <name val="Arial"/>
      <b val="1"/>
      <color rgb="00FFFFFF"/>
      <sz val="10"/>
    </font>
    <font>
      <name val="Arial"/>
      <color rgb="00666666"/>
      <sz val="9"/>
    </font>
  </fonts>
  <fills count="10">
    <fill>
      <patternFill/>
    </fill>
    <fill>
      <patternFill patternType="gray125"/>
    </fill>
    <fill>
      <patternFill patternType="solid">
        <fgColor rgb="FF1B4F72"/>
        <bgColor rgb="FF333399"/>
      </patternFill>
    </fill>
    <fill>
      <patternFill patternType="solid">
        <fgColor rgb="FFF2F3F4"/>
        <bgColor rgb="FFFFFFFF"/>
      </patternFill>
    </fill>
    <fill>
      <patternFill patternType="solid">
        <fgColor rgb="FFD6EAF8"/>
        <bgColor rgb="FFD5F5E3"/>
      </patternFill>
    </fill>
    <fill>
      <patternFill patternType="solid">
        <fgColor rgb="FFD5F5E3"/>
        <bgColor rgb="FFD6EAF8"/>
      </patternFill>
    </fill>
    <fill>
      <patternFill patternType="solid">
        <fgColor rgb="FFFFFFFF"/>
        <bgColor rgb="FFF2F3F4"/>
      </patternFill>
    </fill>
    <fill>
      <patternFill patternType="solid">
        <fgColor rgb="001B4F72"/>
      </patternFill>
    </fill>
    <fill>
      <patternFill patternType="solid">
        <fgColor rgb="00F2F3F4"/>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 applyAlignment="1" pivotButton="0" quotePrefix="0" xfId="0">
      <alignment horizontal="general" vertical="top" wrapText="1"/>
    </xf>
    <xf numFmtId="0" fontId="6" fillId="0" borderId="0" pivotButton="0" quotePrefix="0" xfId="0"/>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14" fillId="7" borderId="2" applyAlignment="1" pivotButton="0" quotePrefix="0" xfId="0">
      <alignment horizontal="center" vertical="center" wrapText="1"/>
    </xf>
    <xf numFmtId="0" fontId="15" fillId="8" borderId="2" applyAlignment="1" pivotButton="0" quotePrefix="0" xfId="0">
      <alignment vertical="top" wrapText="1"/>
    </xf>
    <xf numFmtId="0" fontId="6" fillId="9" borderId="1" applyAlignment="1" pivotButton="0" quotePrefix="0" xfId="0">
      <alignment horizontal="general" vertical="top" wrapText="1"/>
    </xf>
    <xf numFmtId="0" fontId="6" fillId="9" borderId="0" pivotButton="0" quotePrefix="0" xfId="0"/>
    <xf numFmtId="0" fontId="7" fillId="9" borderId="1" applyAlignment="1" pivotButton="0" quotePrefix="0" xfId="0">
      <alignment horizontal="general" vertical="top" wrapText="1"/>
    </xf>
    <xf numFmtId="0"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2F3F4"/>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B4F72"/>
      <rgbColor rgb="FF339966"/>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C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L3" authorId="0" shapeId="0">
      <text>
        <t>[Extract] | Confidence: 50%</t>
      </text>
    </comment>
  </commentList>
</comments>
</file>

<file path=xl/comments/comment2.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List>
</comments>
</file>

<file path=xl/comments/comment3.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H3" authorId="0" shapeId="0">
      <text>
        <t>[Extract] | Confidence: 50%</t>
      </text>
    </comment>
    <comment ref="I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E4" authorId="0" shapeId="0">
      <text>
        <t>[Extract] | Confidence: 50%</t>
      </text>
    </comment>
    <comment ref="F4" authorId="0" shapeId="0">
      <text>
        <t>[Extract] | Confidence: 50%</t>
      </text>
    </comment>
    <comment ref="G4" authorId="0" shapeId="0">
      <text>
        <t>[Extract] | Confidence: 50%</t>
      </text>
    </comment>
    <comment ref="H4" authorId="0" shapeId="0">
      <text>
        <t>[Extract] | Confidence: 50%</t>
      </text>
    </comment>
    <comment ref="I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I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H6" authorId="0" shapeId="0">
      <text>
        <t>[Extract] | Confidence: 50%</t>
      </text>
    </comment>
    <comment ref="I6" authorId="0" shapeId="0">
      <text>
        <t>[Extract] | Confidence: 50%</t>
      </text>
    </comment>
  </commentList>
</comments>
</file>

<file path=xl/comments/comment4.xml><?xml version="1.0" encoding="utf-8"?>
<comments xmlns="http://schemas.openxmlformats.org/spreadsheetml/2006/main">
  <authors>
    <author>uofa extract</author>
  </authors>
  <commentList>
    <comment ref="C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C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C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C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C9" authorId="0" shapeId="0">
      <text>
        <t>[Extract] | Confidence: 50%</t>
      </text>
    </comment>
    <comment ref="D9" authorId="0" shapeId="0">
      <text>
        <t>[Extract] | Confidence: 50%</t>
      </text>
    </comment>
    <comment ref="E9" authorId="0" shapeId="0">
      <text>
        <t>[Extract] | Confidence: 50%</t>
      </text>
    </comment>
    <comment ref="F9" authorId="0" shapeId="0">
      <text>
        <t>[Extract] | Confidence: 50%</t>
      </text>
    </comment>
    <comment ref="G9" authorId="0" shapeId="0">
      <text>
        <t>[Extract] | Confidence: 50%</t>
      </text>
    </comment>
    <comment ref="C10" authorId="0" shapeId="0">
      <text>
        <t>[Extract] | Confidence: 50%</t>
      </text>
    </comment>
    <comment ref="D10" authorId="0" shapeId="0">
      <text>
        <t>[Extract] | Confidence: 50%</t>
      </text>
    </comment>
    <comment ref="E10" authorId="0" shapeId="0">
      <text>
        <t>[Extract] | Confidence: 50%</t>
      </text>
    </comment>
    <comment ref="F10" authorId="0" shapeId="0">
      <text>
        <t>[Extract] | Confidence: 50%</t>
      </text>
    </comment>
    <comment ref="G10" authorId="0" shapeId="0">
      <text>
        <t>[Extract] | Confidence: 50%</t>
      </text>
    </comment>
    <comment ref="C11" authorId="0" shapeId="0">
      <text>
        <t>[Extract] | Confidence: 50%</t>
      </text>
    </comment>
    <comment ref="D11" authorId="0" shapeId="0">
      <text>
        <t>[Extract] | Confidence: 50%</t>
      </text>
    </comment>
    <comment ref="E11" authorId="0" shapeId="0">
      <text>
        <t>[Extract] | Confidence: 50%</t>
      </text>
    </comment>
    <comment ref="F11" authorId="0" shapeId="0">
      <text>
        <t>[Extract] | Confidence: 50%</t>
      </text>
    </comment>
    <comment ref="G11" authorId="0" shapeId="0">
      <text>
        <t>[Extract] | Confidence: 50%</t>
      </text>
    </comment>
    <comment ref="C12" authorId="0" shapeId="0">
      <text>
        <t>[Extract] | Confidence: 50%</t>
      </text>
    </comment>
    <comment ref="D12" authorId="0" shapeId="0">
      <text>
        <t>[Extract] | Confidence: 50%</t>
      </text>
    </comment>
    <comment ref="E12" authorId="0" shapeId="0">
      <text>
        <t>[Extract] | Confidence: 50%</t>
      </text>
    </comment>
    <comment ref="F12" authorId="0" shapeId="0">
      <text>
        <t>[Extract] | Confidence: 50%</t>
      </text>
    </comment>
    <comment ref="G12" authorId="0" shapeId="0">
      <text>
        <t>[Extract] | Confidence: 50%</t>
      </text>
    </comment>
    <comment ref="C13" authorId="0" shapeId="0">
      <text>
        <t>[Extract] | Confidence: 50%</t>
      </text>
    </comment>
    <comment ref="D13" authorId="0" shapeId="0">
      <text>
        <t>[Extract] | Confidence: 50%</t>
      </text>
    </comment>
    <comment ref="E13" authorId="0" shapeId="0">
      <text>
        <t>[Extract] | Confidence: 50%</t>
      </text>
    </comment>
    <comment ref="F13" authorId="0" shapeId="0">
      <text>
        <t>[Extract] | Confidence: 50%</t>
      </text>
    </comment>
    <comment ref="G13" authorId="0" shapeId="0">
      <text>
        <t>[Extract] | Confidence: 50%</t>
      </text>
    </comment>
    <comment ref="C14" authorId="0" shapeId="0">
      <text>
        <t>[Extract] | Confidence: 50%</t>
      </text>
    </comment>
    <comment ref="D14" authorId="0" shapeId="0">
      <text>
        <t>[Extract] | Confidence: 50%</t>
      </text>
    </comment>
    <comment ref="E14" authorId="0" shapeId="0">
      <text>
        <t>[Extract] | Confidence: 50%</t>
      </text>
    </comment>
    <comment ref="F14" authorId="0" shapeId="0">
      <text>
        <t>[Extract] | Confidence: 50%</t>
      </text>
    </comment>
    <comment ref="G14" authorId="0" shapeId="0">
      <text>
        <t>[Extract] | Confidence: 50%</t>
      </text>
    </comment>
    <comment ref="C15" authorId="0" shapeId="0">
      <text>
        <t>[Extract] | Confidence: 50%</t>
      </text>
    </comment>
    <comment ref="D15" authorId="0" shapeId="0">
      <text>
        <t>[Extract] | Confidence: 50%</t>
      </text>
    </comment>
    <comment ref="E15" authorId="0" shapeId="0">
      <text>
        <t>[Extract] | Confidence: 50%</t>
      </text>
    </comment>
    <comment ref="F15" authorId="0" shapeId="0">
      <text>
        <t>[Extract] | Confidence: 50%</t>
      </text>
    </comment>
    <comment ref="G15" authorId="0" shapeId="0">
      <text>
        <t>[Extract] | Confidence: 50%</t>
      </text>
    </comment>
    <comment ref="C16" authorId="0" shapeId="0">
      <text>
        <t>[Extract] | Confidence: 50%</t>
      </text>
    </comment>
    <comment ref="D16" authorId="0" shapeId="0">
      <text>
        <t>[Extract] | Confidence: 50%</t>
      </text>
    </comment>
    <comment ref="E16" authorId="0" shapeId="0">
      <text>
        <t>[Extract] | Confidence: 50%</t>
      </text>
    </comment>
    <comment ref="F16" authorId="0" shapeId="0">
      <text>
        <t>[Extract] | Confidence: 50%</t>
      </text>
    </comment>
    <comment ref="G16" authorId="0" shapeId="0">
      <text>
        <t>[Extract] | Confidence: 50%</t>
      </text>
    </comment>
    <comment ref="C17" authorId="0" shapeId="0">
      <text>
        <t>[Extract] | Confidence: 50%</t>
      </text>
    </comment>
    <comment ref="D17" authorId="0" shapeId="0">
      <text>
        <t>[Extract] | Confidence: 50%</t>
      </text>
    </comment>
    <comment ref="E17" authorId="0" shapeId="0">
      <text>
        <t>[Extract] | Confidence: 50%</t>
      </text>
    </comment>
    <comment ref="F17" authorId="0" shapeId="0">
      <text>
        <t>[Extract] | Confidence: 50%</t>
      </text>
    </comment>
    <comment ref="G17" authorId="0" shapeId="0">
      <text>
        <t>[Extract] | Confidence: 50%</t>
      </text>
    </comment>
  </commentList>
</comments>
</file>

<file path=xl/comments/comment5.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1"/>
  </sheetPr>
  <dimension ref="A1:L6"/>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0" customWidth="1" style="17" min="2" max="2"/>
    <col width="40" customWidth="1" style="17" min="3" max="3"/>
    <col width="12" customWidth="1" style="17" min="4" max="4"/>
    <col width="14" customWidth="1" style="17" min="5" max="5"/>
    <col width="16" customWidth="1" style="17" min="6" max="6"/>
    <col width="14" customWidth="1" style="17" min="7" max="7"/>
    <col width="20" customWidth="1" style="17" min="8" max="8"/>
    <col width="22" customWidth="1" style="17" min="9" max="9"/>
    <col width="16" customWidth="1" style="17" min="10" max="10"/>
    <col width="30" customWidth="1" style="17" min="11" max="11"/>
  </cols>
  <sheetData>
    <row r="1" ht="30" customHeight="1" s="18">
      <c r="A1" s="19" t="inlineStr">
        <is>
          <t>Unit of Assurance — Assessment Summary</t>
        </is>
      </c>
    </row>
    <row r="2" ht="23.85" customHeight="1" s="18">
      <c r="A2" s="20" t="inlineStr">
        <is>
          <t>Project Name</t>
        </is>
      </c>
      <c r="B2" s="20" t="inlineStr">
        <is>
          <t>COU Name</t>
        </is>
      </c>
      <c r="C2" s="20" t="inlineStr">
        <is>
          <t>COU Description</t>
        </is>
      </c>
      <c r="D2" s="20" t="inlineStr">
        <is>
          <t>Profile</t>
        </is>
      </c>
      <c r="E2" s="20" t="inlineStr">
        <is>
          <t>Device Class</t>
        </is>
      </c>
      <c r="F2" s="20" t="inlineStr">
        <is>
          <t>Model Risk Level</t>
        </is>
      </c>
      <c r="G2" s="20" t="inlineStr">
        <is>
          <t>Assurance Level</t>
        </is>
      </c>
      <c r="H2" s="20" t="inlineStr">
        <is>
          <t>Standards Reference</t>
        </is>
      </c>
      <c r="I2" s="20" t="inlineStr">
        <is>
          <t>Assessor Name</t>
        </is>
      </c>
      <c r="J2" s="20" t="inlineStr">
        <is>
          <t>Assessment Date</t>
        </is>
      </c>
      <c r="K2" s="20" t="inlineStr">
        <is>
          <t>Source Document</t>
        </is>
      </c>
      <c r="L2" s="21" t="inlineStr">
        <is>
          <t>Has UQ?</t>
        </is>
      </c>
    </row>
    <row r="3" ht="32.8" customHeight="1" s="18">
      <c r="A3" s="39" t="inlineStr">
        <is>
          <t>Cementless Femoral Stem FEA — Rev F Press-Fit Study</t>
        </is>
      </c>
      <c r="B3" s="39" t="inlineStr">
        <is>
          <t>Predict bone–implant interface micromotion during early gait loading to support acceptance decision for Rev F femoral stem</t>
        </is>
      </c>
      <c r="C3" s="39" t="inlineStr">
        <is>
          <t>Structural FEA (Abaqus/Standard) of a cementless Ti-6Al-4V femoral stem press-fit into a synthetic femur. The model predicts peak relative micromotion at the medial–lateral proximal interface, stem von Mises stress, and contact pressure distribution under single-leg stance and heel-strike load cases (3.0 kN joint reaction). Results are used to compare Rev F vs Rev D designs, rank broach fits and knurl patterns, and evaluate whether peak micromotion remains below a 40 µm threshold with a &gt;20% safety margin.</t>
        </is>
      </c>
      <c r="D3" s="39" t="inlineStr">
        <is>
          <t>Complete</t>
        </is>
      </c>
      <c r="E3" s="39" t="inlineStr">
        <is>
          <t>Class III</t>
        </is>
      </c>
      <c r="F3" s="39" t="inlineStr">
        <is>
          <t>MRL 4</t>
        </is>
      </c>
      <c r="G3" s="39" t="inlineStr">
        <is>
          <t>Medium</t>
        </is>
      </c>
      <c r="H3" s="39" t="inlineStr">
        <is>
          <t>ASME-VV40-2018</t>
        </is>
      </c>
      <c r="I3" s="22" t="n"/>
      <c r="J3" s="22" t="inlineStr">
        <is>
          <t>Date of this assessment (YYYY-MM-DD)</t>
        </is>
      </c>
      <c r="K3" s="22" t="inlineStr">
        <is>
          <t>DOI, report number, or URI</t>
        </is>
      </c>
      <c r="L3" s="40" t="inlineStr">
        <is>
          <t>Yes</t>
        </is>
      </c>
    </row>
    <row r="4" ht="15" customHeight="1" s="18">
      <c r="A4" s="24" t="n"/>
      <c r="B4" s="24" t="n"/>
      <c r="C4" s="25" t="n"/>
      <c r="D4" s="24" t="n"/>
      <c r="E4" s="25" t="n"/>
      <c r="F4" s="25" t="n"/>
      <c r="G4" s="25" t="n"/>
      <c r="H4" s="25" t="n"/>
      <c r="I4" s="24" t="n"/>
      <c r="J4" s="24" t="n"/>
      <c r="K4" s="25" t="n"/>
    </row>
    <row r="6" ht="15" customHeight="1" s="18">
      <c r="A6" s="26" t="inlineStr">
        <is>
          <t>Legend:</t>
        </is>
      </c>
      <c r="C6" s="27" t="inlineStr">
        <is>
          <t>Required (Minimal)</t>
        </is>
      </c>
      <c r="D6" s="28" t="inlineStr">
        <is>
          <t>Required (Complete)</t>
        </is>
      </c>
      <c r="E6" s="29" t="inlineStr">
        <is>
          <t>Optional</t>
        </is>
      </c>
    </row>
  </sheetData>
  <mergeCells count="2">
    <mergeCell ref="A1:K1"/>
    <mergeCell ref="A6:B6"/>
  </mergeCells>
  <dataValidations count="5">
    <dataValidation sqref="D4" showDropDown="0" showInputMessage="0" showErrorMessage="0" allowBlank="0" error="Select Minimal or Complete" type="list" errorStyle="stop" operator="between">
      <formula1>list_profile</formula1>
      <formula2>0</formula2>
    </dataValidation>
    <dataValidation sqref="E4" showDropDown="0" showInputMessage="0" showErrorMessage="0" allowBlank="1" type="list" errorStyle="stop" operator="between">
      <formula1>list_device_class</formula1>
      <formula2>0</formula2>
    </dataValidation>
    <dataValidation sqref="F4" showDropDown="0" showInputMessage="0" showErrorMessage="0" allowBlank="1" type="list" errorStyle="stop" operator="between">
      <formula1>list_mrl</formula1>
      <formula2>0</formula2>
    </dataValidation>
    <dataValidation sqref="G4" showDropDown="0" showInputMessage="0" showErrorMessage="0" allowBlank="1" type="list" errorStyle="stop" operator="between">
      <formula1>list_assurance</formula1>
      <formula2>0</formula2>
    </dataValidation>
    <dataValidation sqref="H4" showDropDown="0" showInputMessage="0" showErrorMessage="0" allowBlank="1" type="list" errorStyle="stop" operator="between">
      <formula1>list_standards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90" customWidth="1" style="17" min="2" max="2"/>
  </cols>
  <sheetData>
    <row r="1" ht="30" customHeight="1" s="18">
      <c r="A1" s="19" t="inlineStr">
        <is>
          <t>UofA Excel Template — Instructions</t>
        </is>
      </c>
    </row>
    <row r="3" ht="39.75" customHeight="1" s="18">
      <c r="A3" s="30" t="inlineStr">
        <is>
          <t>What is this?</t>
        </is>
      </c>
      <c r="B3" s="31" t="inlineStr">
        <is>
          <t>This workbook captures a credibility assessment for one Context of Use (COU). Fill it out, then run `uofa import` to convert it to a machine-verifiable evidence package.</t>
        </is>
      </c>
    </row>
    <row r="4" ht="39.75" customHeight="1" s="18">
      <c r="A4" s="30" t="inlineStr">
        <is>
          <t>One workbook = one COU</t>
        </is>
      </c>
      <c r="B4" s="31" t="inlineStr">
        <is>
          <t>If your project has multiple COUs (e.g., different device classes or risk levels for the same model), create a separate workbook for each.</t>
        </is>
      </c>
    </row>
    <row r="5" ht="39.75" customHeight="1" s="18">
      <c r="A5" s="30" t="inlineStr">
        <is>
          <t>Profiles</t>
        </is>
      </c>
      <c r="B5" s="31" t="inlineStr">
        <is>
          <t>Minimal (7 fields, lightweight audit trail) is for early-stage projects or live pipeline capture. Complete (full V&amp;V 40 assessment) is for regulatory submissions.</t>
        </is>
      </c>
    </row>
    <row r="6" ht="39.75" customHeight="1" s="18">
      <c r="A6" s="30" t="inlineStr">
        <is>
          <t>Color coding</t>
        </is>
      </c>
      <c r="B6" s="31" t="inlineStr">
        <is>
          <t>Blue cells = required for Minimal profile. Green cells = required for Complete profile. White cells = optional.</t>
        </is>
      </c>
    </row>
    <row r="7" ht="39.75" customHeight="1" s="18">
      <c r="A7" s="30" t="inlineStr">
        <is>
          <t>Credibility Factors</t>
        </is>
      </c>
      <c r="B7" s="31" t="inlineStr">
        <is>
          <t>Sheet 4 is pre-populated with all 13 V&amp;V 40 factors from Table 5-1. You do not need to assess all 13 — set Assessed = "No" or "N/A" for factors not relevant to your COU.</t>
        </is>
      </c>
    </row>
    <row r="8" ht="39.75" customHeight="1" s="18">
      <c r="A8" s="30" t="inlineStr">
        <is>
          <t>Dropdowns</t>
        </is>
      </c>
      <c r="B8" s="31" t="inlineStr">
        <is>
          <t>Most constrained fields use dropdown lists. If you need a custom value not in the dropdown, type it directly (the validation will warn but not prevent entry).</t>
        </is>
      </c>
    </row>
    <row r="9" ht="39.75" customHeight="1" s="18">
      <c r="A9" s="30" t="inlineStr">
        <is>
          <t>After filling out</t>
        </is>
      </c>
      <c r="B9" s="31" t="inlineStr">
        <is>
          <t>Run: uofa import your-file.xlsx --sign --key keys/your.key --check</t>
        </is>
      </c>
    </row>
    <row r="10" ht="39.75" customHeight="1" s="18">
      <c r="A10" s="30" t="inlineStr">
        <is>
          <t>What the tool checks</t>
        </is>
      </c>
      <c r="B10" s="31" t="inlineStr">
        <is>
          <t>Gate 1 (SHACL): Are all required fields present? Gate 2 (Jena rules): Are there quality gaps (weakeners)? Gate 3 (Integrity): Is the hash and signature valid?</t>
        </is>
      </c>
    </row>
    <row r="11" ht="39.75" customHeight="1" s="18">
      <c r="A11" s="30" t="inlineStr">
        <is>
          <t>More info</t>
        </is>
      </c>
      <c r="B11" s="31" t="inlineStr">
        <is>
          <t>https://crediblesimulation.com | https://github.com/cloudronin/uofa</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8">
      <c r="A1" s="32" t="inlineStr">
        <is>
          <t>Profile</t>
        </is>
      </c>
      <c r="B1" s="32" t="inlineStr">
        <is>
          <t>Device Class</t>
        </is>
      </c>
      <c r="C1" s="32" t="inlineStr">
        <is>
          <t>Model Risk Level</t>
        </is>
      </c>
      <c r="D1" s="32" t="inlineStr">
        <is>
          <t>Assurance Level</t>
        </is>
      </c>
      <c r="E1" s="32" t="inlineStr">
        <is>
          <t>Standards Reference</t>
        </is>
      </c>
      <c r="F1" s="32" t="inlineStr">
        <is>
          <t>Entity Type</t>
        </is>
      </c>
      <c r="G1" s="32" t="inlineStr">
        <is>
          <t>Has UQ</t>
        </is>
      </c>
      <c r="H1" s="32" t="inlineStr">
        <is>
          <t>Pass/Fail</t>
        </is>
      </c>
      <c r="I1" s="32" t="inlineStr">
        <is>
          <t>Factor Level (1-5)</t>
        </is>
      </c>
      <c r="J1" s="32" t="inlineStr">
        <is>
          <t>Factor Status</t>
        </is>
      </c>
      <c r="K1" s="32" t="inlineStr">
        <is>
          <t>Decision Outcome</t>
        </is>
      </c>
      <c r="L1" s="17" t="inlineStr">
        <is>
          <t>Has UQ (COU-level)</t>
        </is>
      </c>
    </row>
    <row r="2" ht="15" customHeight="1" s="18">
      <c r="A2" s="17" t="inlineStr">
        <is>
          <t>Minimal</t>
        </is>
      </c>
      <c r="B2" s="17" t="inlineStr">
        <is>
          <t>Class I</t>
        </is>
      </c>
      <c r="C2" s="17" t="inlineStr">
        <is>
          <t>MRL 1</t>
        </is>
      </c>
      <c r="D2" s="17" t="inlineStr">
        <is>
          <t>Low</t>
        </is>
      </c>
      <c r="E2" s="17" t="inlineStr">
        <is>
          <t>ASME-VV40-2018</t>
        </is>
      </c>
      <c r="F2" s="17" t="inlineStr">
        <is>
          <t>Requirement</t>
        </is>
      </c>
      <c r="G2" s="17" t="inlineStr">
        <is>
          <t>Yes</t>
        </is>
      </c>
      <c r="H2" s="17" t="inlineStr">
        <is>
          <t>Pass</t>
        </is>
      </c>
      <c r="I2" s="17" t="n">
        <v>1</v>
      </c>
      <c r="J2" s="17" t="inlineStr">
        <is>
          <t>assessed</t>
        </is>
      </c>
      <c r="K2" s="17" t="inlineStr">
        <is>
          <t>Accepted</t>
        </is>
      </c>
      <c r="L2" s="17" t="inlineStr">
        <is>
          <t>Yes</t>
        </is>
      </c>
    </row>
    <row r="3" ht="15" customHeight="1" s="18">
      <c r="A3" s="17" t="inlineStr">
        <is>
          <t>Complete</t>
        </is>
      </c>
      <c r="B3" s="17" t="inlineStr">
        <is>
          <t>Class II</t>
        </is>
      </c>
      <c r="C3" s="17" t="inlineStr">
        <is>
          <t>MRL 2</t>
        </is>
      </c>
      <c r="D3" s="17" t="inlineStr">
        <is>
          <t>Medium</t>
        </is>
      </c>
      <c r="E3" s="17" t="inlineStr">
        <is>
          <t>NASA-STD-7009B</t>
        </is>
      </c>
      <c r="F3" s="17" t="inlineStr">
        <is>
          <t>Model</t>
        </is>
      </c>
      <c r="G3" s="17" t="inlineStr">
        <is>
          <t>No</t>
        </is>
      </c>
      <c r="H3" s="17" t="inlineStr">
        <is>
          <t>Fail</t>
        </is>
      </c>
      <c r="I3" s="17" t="n">
        <v>2</v>
      </c>
      <c r="J3" s="17" t="inlineStr">
        <is>
          <t>not-assessed</t>
        </is>
      </c>
      <c r="K3" s="17" t="inlineStr">
        <is>
          <t>Not accepted</t>
        </is>
      </c>
      <c r="L3" s="17" t="inlineStr">
        <is>
          <t>No</t>
        </is>
      </c>
    </row>
    <row r="4" ht="15" customHeight="1" s="18">
      <c r="B4" s="17" t="inlineStr">
        <is>
          <t>Class III</t>
        </is>
      </c>
      <c r="C4" s="17" t="inlineStr">
        <is>
          <t>MRL 3</t>
        </is>
      </c>
      <c r="D4" s="17" t="inlineStr">
        <is>
          <t>High</t>
        </is>
      </c>
      <c r="E4" s="17" t="inlineStr">
        <is>
          <t>FDA-2023-CMS</t>
        </is>
      </c>
      <c r="F4" s="17" t="inlineStr">
        <is>
          <t>Dataset</t>
        </is>
      </c>
      <c r="H4" s="17" t="inlineStr">
        <is>
          <t>Inconclusive</t>
        </is>
      </c>
      <c r="I4" s="17" t="n">
        <v>3</v>
      </c>
      <c r="J4" s="17" t="inlineStr">
        <is>
          <t>scoped-out</t>
        </is>
      </c>
      <c r="K4" s="17" t="inlineStr">
        <is>
          <t>Conditional</t>
        </is>
      </c>
    </row>
    <row r="5" ht="15" customHeight="1" s="18">
      <c r="B5" s="17" t="inlineStr">
        <is>
          <t>Category A</t>
        </is>
      </c>
      <c r="C5" s="17" t="inlineStr">
        <is>
          <t>MRL 4</t>
        </is>
      </c>
      <c r="E5" s="17" t="inlineStr">
        <is>
          <t>Custom</t>
        </is>
      </c>
      <c r="H5" s="17" t="inlineStr">
        <is>
          <t>N/A</t>
        </is>
      </c>
      <c r="I5" s="17" t="n">
        <v>4</v>
      </c>
      <c r="J5" s="17" t="inlineStr">
        <is>
          <t>not-applicable</t>
        </is>
      </c>
    </row>
    <row r="6" ht="15" customHeight="1" s="18">
      <c r="B6" s="17" t="inlineStr">
        <is>
          <t>Category B</t>
        </is>
      </c>
      <c r="C6" s="17" t="inlineStr">
        <is>
          <t>MRL 5</t>
        </is>
      </c>
      <c r="I6" s="17" t="n">
        <v>5</v>
      </c>
    </row>
    <row r="7" ht="15" customHeight="1" s="18">
      <c r="B7" s="17" t="inlineStr">
        <is>
          <t>Category C</t>
        </is>
      </c>
    </row>
    <row r="8" ht="15" customHeight="1" s="18">
      <c r="B8" s="17" t="inlineStr">
        <is>
          <t>Category D</t>
        </is>
      </c>
    </row>
    <row r="9" ht="15" customHeight="1" s="18">
      <c r="B9" s="17" t="inlineStr">
        <is>
          <t>Category E</t>
        </is>
      </c>
    </row>
    <row r="10" ht="15" customHeight="1" s="18">
      <c r="B10" s="17"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5" customWidth="1" style="17" min="2" max="2"/>
    <col width="40" customWidth="1" style="17" min="3" max="3"/>
    <col width="45" customWidth="1" style="17" min="4" max="4"/>
    <col width="12" customWidth="1" style="17" min="5" max="5"/>
    <col width="20" customWidth="1" style="17" min="6" max="6"/>
  </cols>
  <sheetData>
    <row r="1" ht="30" customHeight="1" s="18">
      <c r="A1" s="19" t="inlineStr">
        <is>
          <t>Model &amp; Data — What you modeled and compared against</t>
        </is>
      </c>
    </row>
    <row r="2" ht="15" customHeight="1" s="18">
      <c r="A2" s="20" t="inlineStr">
        <is>
          <t>Entity Type</t>
        </is>
      </c>
      <c r="B2" s="20" t="inlineStr">
        <is>
          <t>Name</t>
        </is>
      </c>
      <c r="C2" s="20" t="inlineStr">
        <is>
          <t>Identifier / URI</t>
        </is>
      </c>
      <c r="D2" s="20" t="inlineStr">
        <is>
          <t>Description</t>
        </is>
      </c>
      <c r="E2" s="20" t="inlineStr">
        <is>
          <t>Version</t>
        </is>
      </c>
      <c r="F2" s="20" t="inlineStr">
        <is>
          <t>Source</t>
        </is>
      </c>
    </row>
    <row r="3" ht="32.8" customHeight="1" s="18">
      <c r="A3" s="39" t="inlineStr">
        <is>
          <t>Requirement</t>
        </is>
      </c>
      <c r="B3" s="39" t="inlineStr">
        <is>
          <t>Bone–Implant Interface Micromotion Threshold</t>
        </is>
      </c>
      <c r="C3" s="22" t="inlineStr">
        <is>
          <t>Stable URI or local ID</t>
        </is>
      </c>
      <c r="D3" s="39" t="inlineStr">
        <is>
          <t>Peak relative micromotion at the proximal medial–lateral interface must remain below 40 µm during early gait loading, with a safety margin &gt;20% relative to threshold, to support Rev F acceptance.</t>
        </is>
      </c>
      <c r="E3" s="22" t="inlineStr">
        <is>
          <t>Version number (optional)</t>
        </is>
      </c>
      <c r="F3" s="22" t="inlineStr">
        <is>
          <t>Where this came from (optional)</t>
        </is>
      </c>
    </row>
    <row r="4" ht="15" customHeight="1" s="18">
      <c r="A4" s="41" t="inlineStr">
        <is>
          <t>Model</t>
        </is>
      </c>
      <c r="B4" s="41" t="inlineStr">
        <is>
          <t>Abaqus/Standard Structural FEA Model — Femoral Stem Press-Fit</t>
        </is>
      </c>
      <c r="C4" s="24" t="n"/>
      <c r="D4" s="41" t="inlineStr">
        <is>
          <t>Nonlinear static FEA model of CT-derived femur (DigitalFemur-42) with Rev F Ti-6Al-4V stem, surface-to-surface frictional contact (μ=0.30), bilinear plastic stem material, and porous layer stiffness grading via USDFLD subroutine; run in Abaqus/Standard 2021 HF7 and 2022 GA.</t>
        </is>
      </c>
      <c r="E4" s="33" t="n"/>
      <c r="F4" s="33" t="n"/>
    </row>
    <row r="5" ht="15" customHeight="1" s="18">
      <c r="A5" s="41" t="inlineStr">
        <is>
          <t>Dataset</t>
        </is>
      </c>
      <c r="B5" s="41" t="inlineStr">
        <is>
          <t>DIC Stereocamera Micromotion Measurements — Sawbones 3403 Rig</t>
        </is>
      </c>
      <c r="C5" s="24" t="n"/>
      <c r="D5" s="41" t="inlineStr">
        <is>
          <t>Digital image correlation measurements (7 µm/pixel) of proximal interface micromotion at 8 markers under 2 kN axial plus abductor cable loading on a synthetic femur (Sawbones 3403) used for model validation.</t>
        </is>
      </c>
      <c r="E5" s="33" t="n"/>
      <c r="F5" s="33" t="n"/>
    </row>
    <row r="6" ht="15" customHeight="1" s="18">
      <c r="A6" s="41" t="inlineStr">
        <is>
          <t>Dataset</t>
        </is>
      </c>
      <c r="B6" s="41" t="inlineStr">
        <is>
          <t>Bergmann Hip Contact Force Dataset</t>
        </is>
      </c>
      <c r="C6" s="24" t="n"/>
      <c r="D6" s="41" t="inlineStr">
        <is>
          <t>Literature hip contact force and direction data (Bergmann et al.) downsampled to static peak values to define joint reaction load boundary conditions.</t>
        </is>
      </c>
      <c r="E6" s="33" t="n"/>
      <c r="F6" s="33" t="n"/>
    </row>
    <row r="7" ht="15" customHeight="1" s="18">
      <c r="A7" s="24" t="n"/>
      <c r="B7" s="24" t="n"/>
      <c r="C7" s="24" t="n"/>
      <c r="D7" s="33" t="n"/>
      <c r="E7" s="33" t="n"/>
      <c r="F7" s="33" t="n"/>
    </row>
    <row r="8" ht="15" customHeight="1" s="18">
      <c r="A8" s="24" t="n"/>
      <c r="B8" s="24" t="n"/>
      <c r="C8" s="24" t="n"/>
      <c r="D8" s="33" t="n"/>
      <c r="E8" s="33" t="n"/>
      <c r="F8" s="33" t="n"/>
    </row>
    <row r="9" ht="15" customHeight="1" s="18">
      <c r="A9" s="24" t="n"/>
      <c r="B9" s="24" t="n"/>
      <c r="C9" s="24" t="n"/>
      <c r="D9" s="33" t="n"/>
      <c r="E9" s="33" t="n"/>
      <c r="F9" s="33" t="n"/>
    </row>
    <row r="10" ht="15" customHeight="1" s="18">
      <c r="A10" s="24" t="n"/>
      <c r="B10" s="24" t="n"/>
      <c r="C10" s="24" t="n"/>
      <c r="D10" s="33" t="n"/>
      <c r="E10" s="33" t="n"/>
      <c r="F10" s="33" t="n"/>
    </row>
    <row r="11" ht="15" customHeight="1" s="18">
      <c r="A11" s="24" t="n"/>
      <c r="B11" s="24" t="n"/>
      <c r="C11" s="24" t="n"/>
      <c r="D11" s="33" t="n"/>
      <c r="E11" s="33" t="n"/>
      <c r="F11" s="33" t="n"/>
    </row>
    <row r="12" ht="15" customHeight="1" s="18">
      <c r="A12" s="24" t="n"/>
      <c r="B12" s="24" t="n"/>
      <c r="C12" s="24" t="n"/>
      <c r="D12" s="33" t="n"/>
      <c r="E12" s="33" t="n"/>
      <c r="F12" s="33" t="n"/>
    </row>
    <row r="13" ht="15" customHeight="1" s="18">
      <c r="A13" s="24" t="n"/>
      <c r="B13" s="24" t="n"/>
      <c r="C13" s="24" t="n"/>
      <c r="D13" s="33" t="n"/>
      <c r="E13" s="33" t="n"/>
      <c r="F13" s="33" t="n"/>
    </row>
  </sheetData>
  <mergeCells count="1">
    <mergeCell ref="A1:F1"/>
  </mergeCells>
  <dataValidations count="1">
    <dataValidation sqref="A4:A13" showDropDown="0" showInputMessage="0" showErrorMessage="0" allowBlank="1" type="list" errorStyle="stop" operator="between">
      <formula1>list_entity_type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I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17" min="1" max="1"/>
    <col width="35" customWidth="1" style="17" min="2" max="2"/>
    <col width="45" customWidth="1" style="17" min="3" max="3"/>
    <col width="35" customWidth="1" style="17" min="4" max="4"/>
    <col width="10" customWidth="1" style="17" min="5" max="5"/>
    <col width="30" customWidth="1" style="17" min="6" max="6"/>
    <col width="18" customWidth="1" style="17" min="7" max="7"/>
    <col width="14" customWidth="1" style="17" min="8" max="8"/>
  </cols>
  <sheetData>
    <row r="1" ht="30" customHeight="1" s="18">
      <c r="A1" s="19" t="inlineStr">
        <is>
          <t>Validation Results — What you found when you tested the model</t>
        </is>
      </c>
    </row>
    <row r="2" ht="15" customHeight="1" s="18">
      <c r="A2" s="20" t="inlineStr">
        <is>
          <t>Result Name</t>
        </is>
      </c>
      <c r="B2" s="20" t="inlineStr">
        <is>
          <t>Identifier / URI</t>
        </is>
      </c>
      <c r="C2" s="20" t="inlineStr">
        <is>
          <t>Description</t>
        </is>
      </c>
      <c r="D2" s="20" t="inlineStr">
        <is>
          <t>Compares To</t>
        </is>
      </c>
      <c r="E2" s="20" t="inlineStr">
        <is>
          <t>Has UQ?</t>
        </is>
      </c>
      <c r="F2" s="20" t="inlineStr">
        <is>
          <t>UQ Method</t>
        </is>
      </c>
      <c r="G2" s="20" t="inlineStr">
        <is>
          <t>Metric Value</t>
        </is>
      </c>
      <c r="H2" s="20" t="inlineStr">
        <is>
          <t>Pass / Fail</t>
        </is>
      </c>
    </row>
    <row r="3" ht="32.8" customHeight="1" s="18">
      <c r="A3" s="39" t="inlineStr">
        <is>
          <t>DIC vs FEA Micromotion Comparison — Heel-Strike and Single-Leg Stance</t>
        </is>
      </c>
      <c r="B3" s="39" t="inlineStr">
        <is>
          <t>ValidationResult</t>
        </is>
      </c>
      <c r="C3" s="22" t="inlineStr">
        <is>
          <t>What was done, what was found</t>
        </is>
      </c>
      <c r="D3" s="39" t="inlineStr">
        <is>
          <t>RMS micromotion over 8 proximal interface markers compared between Abaqus/Standard FEA predictions and DIC stereo-camera measurements on Sawbones 3403 synthetic femur under two load cases. Headline claim: FEA within 7% of mean DIC across both cases. Detailed results show FEA 38.6 µm vs DIC 45.5 µm (−15%) at heel-strike; FEA 26.2 µm vs DIC 28.4 µm (−7.7%) at single-leg stance.</t>
        </is>
      </c>
      <c r="E3" s="39" t="inlineStr">
        <is>
          <t>DIC stereocamera measurements on synthetic femur bench test</t>
        </is>
      </c>
      <c r="F3" s="39" t="inlineStr">
        <is>
          <t>No</t>
        </is>
      </c>
      <c r="G3" s="22" t="inlineStr">
        <is>
          <t>Quantitative result if applicable</t>
        </is>
      </c>
      <c r="H3" s="39" t="inlineStr">
        <is>
          <t>−15% (heel-strike); −7.7% (single-leg stance)</t>
        </is>
      </c>
      <c r="I3" s="42" t="inlineStr">
        <is>
          <t>Inconclusive</t>
        </is>
      </c>
    </row>
    <row r="4" ht="15" customHeight="1" s="18">
      <c r="A4" s="41" t="inlineStr">
        <is>
          <t>Mesh Convergence Study — Peak Micromotion and Stem Stress</t>
        </is>
      </c>
      <c r="B4" s="41" t="inlineStr">
        <is>
          <t>ValidationResult</t>
        </is>
      </c>
      <c r="C4" s="33" t="n"/>
      <c r="D4" s="41" t="inlineStr">
        <is>
          <t>Three mesh densities evaluated (Coarse ~480k, Medium ~1.15M, Fine ~2.9M elements). Peak micromotion: 44.1 µm (Coarse), 40.7 µm (Medium), 37.4 µm (Fine). Medium→Fine change is 8.1% (claimed as &lt;3% in Methods). Stem peak stress increases monotonically: 732, 789, 846 MPa. GCI reported as 1.8% in slide notes but notebook calculation yields 6.8% with same data and p=1.92 fit.</t>
        </is>
      </c>
      <c r="E4" s="41" t="inlineStr">
        <is>
          <t>Richardson extrapolation / Grid Convergence Index</t>
        </is>
      </c>
      <c r="F4" s="41" t="inlineStr">
        <is>
          <t>Yes</t>
        </is>
      </c>
      <c r="G4" s="41" t="inlineStr">
        <is>
          <t>Richardson extrapolation / GCI (p=1.92 fit)</t>
        </is>
      </c>
      <c r="H4" s="41" t="inlineStr">
        <is>
          <t>GCI 6.8% (notebook); 8.1% Medium-to-Fine micromotion change</t>
        </is>
      </c>
      <c r="I4" s="42" t="inlineStr">
        <is>
          <t>Fail</t>
        </is>
      </c>
    </row>
    <row r="5" ht="15" customHeight="1" s="18">
      <c r="A5" s="41" t="inlineStr">
        <is>
          <t>Contact Pressure Footprint Qualitative Check</t>
        </is>
      </c>
      <c r="B5" s="41" t="inlineStr">
        <is>
          <t>ValidationResult</t>
        </is>
      </c>
      <c r="C5" s="33" t="n"/>
      <c r="D5" s="41" t="inlineStr">
        <is>
          <t>FEA contact pressure footprint compared qualitatively to ink-transfer from bench press-fit tests. General proximal shape reported as consistent; however, FEA predicts peak slip medially (30–45 µm) while DIC shows peak slip laterally (25–35 µm), indicating a spatial discrepancy in slip hotspot location.</t>
        </is>
      </c>
      <c r="E5" s="41" t="inlineStr">
        <is>
          <t>Ink-transfer bench press-fit and DIC slip distribution</t>
        </is>
      </c>
      <c r="F5" s="41" t="inlineStr">
        <is>
          <t>No</t>
        </is>
      </c>
      <c r="G5" s="33" t="n"/>
      <c r="H5" s="33" t="n"/>
      <c r="I5" s="42" t="inlineStr">
        <is>
          <t>Inconclusive</t>
        </is>
      </c>
    </row>
    <row r="6" ht="15" customHeight="1" s="18">
      <c r="A6" s="41" t="inlineStr">
        <is>
          <t>Sensitivity / UQ Latin Hypercube Sampling</t>
        </is>
      </c>
      <c r="B6" s="41" t="inlineStr">
        <is>
          <t>ValidationResult</t>
        </is>
      </c>
      <c r="C6" s="33" t="n"/>
      <c r="D6" s="41" t="inlineStr">
        <is>
          <t>Planned N=100 LHS varying E_cortical, E_cancellous, friction coefficient, interference fit, and abductor force ±15%. Executed: N=28, 25 completed (3 diverged at high μ). Reported 95% interval ±12% about mean; filtered 25-run set shows CV=9.6%, min/max excursion −18%/+21%, bootstrap 95% half-width 14–16%. Model-form variant (proximal tie constraint) shifts mean micromotion −19% and was not included in the UQ envelope.</t>
        </is>
      </c>
      <c r="E6" s="41" t="inlineStr">
        <is>
          <t>Planned protocol targets</t>
        </is>
      </c>
      <c r="F6" s="41" t="inlineStr">
        <is>
          <t>Yes</t>
        </is>
      </c>
      <c r="G6" s="41" t="inlineStr">
        <is>
          <t>Latin hypercube sampling, bootstrap confidence interval</t>
        </is>
      </c>
      <c r="H6" s="41" t="inlineStr">
        <is>
          <t>Bootstrap 95% half-width 14–16%; excursion range −18%/+21%</t>
        </is>
      </c>
      <c r="I6" s="42" t="inlineStr">
        <is>
          <t>Inconclusive</t>
        </is>
      </c>
    </row>
    <row r="7" ht="15" customHeight="1" s="18">
      <c r="A7" s="24" t="n"/>
      <c r="B7" s="24" t="n"/>
      <c r="C7" s="33" t="n"/>
      <c r="D7" s="33" t="n"/>
      <c r="E7" s="25" t="n"/>
      <c r="F7" s="33" t="n"/>
      <c r="G7" s="33" t="n"/>
      <c r="H7" s="33" t="n"/>
    </row>
    <row r="8" ht="15" customHeight="1" s="18">
      <c r="A8" s="24" t="n"/>
      <c r="B8" s="24" t="n"/>
      <c r="C8" s="33" t="n"/>
      <c r="D8" s="33" t="n"/>
      <c r="E8" s="25" t="n"/>
      <c r="F8" s="33" t="n"/>
      <c r="G8" s="33" t="n"/>
      <c r="H8" s="33" t="n"/>
    </row>
    <row r="9" ht="15" customHeight="1" s="18">
      <c r="A9" s="24" t="n"/>
      <c r="B9" s="24" t="n"/>
      <c r="C9" s="33" t="n"/>
      <c r="D9" s="33" t="n"/>
      <c r="E9" s="25" t="n"/>
      <c r="F9" s="33" t="n"/>
      <c r="G9" s="33" t="n"/>
      <c r="H9" s="33" t="n"/>
    </row>
    <row r="10" ht="15" customHeight="1" s="18">
      <c r="A10" s="24" t="n"/>
      <c r="B10" s="24" t="n"/>
      <c r="C10" s="33" t="n"/>
      <c r="D10" s="33" t="n"/>
      <c r="E10" s="25" t="n"/>
      <c r="F10" s="33" t="n"/>
      <c r="G10" s="33" t="n"/>
      <c r="H10" s="33" t="n"/>
    </row>
    <row r="11" ht="15" customHeight="1" s="18">
      <c r="A11" s="24" t="n"/>
      <c r="B11" s="24" t="n"/>
      <c r="C11" s="33" t="n"/>
      <c r="D11" s="33" t="n"/>
      <c r="E11" s="25" t="n"/>
      <c r="F11" s="33" t="n"/>
      <c r="G11" s="33" t="n"/>
      <c r="H11" s="33" t="n"/>
    </row>
    <row r="12" ht="15" customHeight="1" s="18">
      <c r="A12" s="24" t="n"/>
      <c r="B12" s="24" t="n"/>
      <c r="C12" s="33" t="n"/>
      <c r="D12" s="33" t="n"/>
      <c r="E12" s="25" t="n"/>
      <c r="F12" s="33" t="n"/>
      <c r="G12" s="33" t="n"/>
      <c r="H12" s="33" t="n"/>
    </row>
    <row r="13" ht="15" customHeight="1" s="18">
      <c r="A13" s="24" t="n"/>
      <c r="B13" s="24" t="n"/>
      <c r="C13" s="33" t="n"/>
      <c r="D13" s="33" t="n"/>
      <c r="E13" s="25" t="n"/>
      <c r="F13" s="33" t="n"/>
      <c r="G13" s="33" t="n"/>
      <c r="H13" s="33" t="n"/>
    </row>
  </sheetData>
  <mergeCells count="1">
    <mergeCell ref="A1:H1"/>
  </mergeCells>
  <dataValidations count="2">
    <dataValidation sqref="E4:E13" showDropDown="0" showInputMessage="0" showErrorMessage="0" allowBlank="1" type="list" errorStyle="stop" operator="between">
      <formula1>list_has_uq</formula1>
      <formula2>0</formula2>
    </dataValidation>
    <dataValidation sqref="H4:H13" showDropDown="0" showInputMessage="0" showErrorMessage="0" allowBlank="1" type="list" errorStyle="stop" operator="between">
      <formula1>list_pass_fail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25" customWidth="1" style="17" min="2" max="2"/>
    <col width="16" customWidth="1" style="17" min="3" max="4"/>
    <col width="40" customWidth="1" style="17" min="5" max="5"/>
    <col width="12" customWidth="1" style="17" min="6" max="6"/>
    <col width="22" customWidth="1" style="18" min="8" max="8"/>
  </cols>
  <sheetData>
    <row r="1" ht="30" customHeight="1" s="18">
      <c r="A1" s="19" t="inlineStr">
        <is>
          <t>Credibility Factors — V&amp;V 40 Table 5-1 Assessment</t>
        </is>
      </c>
    </row>
    <row r="2" ht="30" customHeight="1" s="18">
      <c r="A2" s="34" t="inlineStr">
        <is>
          <t>Complete profile only. Assess each relevant factor: set Required Level (goal given model risk) and Achieved Level (what evidence supports).</t>
        </is>
      </c>
    </row>
    <row r="3" ht="15" customHeight="1" s="18">
      <c r="A3" s="20" t="inlineStr">
        <is>
          <t>Factor Type</t>
        </is>
      </c>
      <c r="B3" s="20" t="inlineStr">
        <is>
          <t>Category</t>
        </is>
      </c>
      <c r="C3" s="20" t="inlineStr">
        <is>
          <t>Required Level</t>
        </is>
      </c>
      <c r="D3" s="20" t="inlineStr">
        <is>
          <t>Achieved Level</t>
        </is>
      </c>
      <c r="E3" s="21" t="inlineStr">
        <is>
          <t>Acceptance Criteria</t>
        </is>
      </c>
      <c r="F3" s="20" t="inlineStr">
        <is>
          <t>Rationale</t>
        </is>
      </c>
      <c r="G3" s="20" t="inlineStr">
        <is>
          <t>Factor Status</t>
        </is>
      </c>
      <c r="H3" s="37" t="inlineStr">
        <is>
          <t>Linked Evidence</t>
        </is>
      </c>
    </row>
    <row r="4" ht="22.35" customHeight="1" s="18">
      <c r="A4" s="22" t="inlineStr">
        <is>
          <t>V&amp;V 40 factor (pre-filled, do not edit)</t>
        </is>
      </c>
      <c r="B4" s="22" t="inlineStr">
        <is>
          <t>Grouping (pre-filled)</t>
        </is>
      </c>
      <c r="C4" s="22" t="inlineStr">
        <is>
          <t>Credibility goal for this factor (1-5)</t>
        </is>
      </c>
      <c r="D4" s="22" t="inlineStr">
        <is>
          <t>Level achieved by evidence (1-5)</t>
        </is>
      </c>
      <c r="E4" s="23" t="inlineStr">
        <is>
          <t>Goal and basis for the required level (from V&amp;V 40 Tables 3-4)</t>
        </is>
      </c>
      <c r="F4" s="22" t="inlineStr">
        <is>
          <t>Brief justification (esp. if achieved &lt; required)</t>
        </is>
      </c>
      <c r="G4" s="22" t="inlineStr">
        <is>
          <t>assessed / not-assessed / scoped-out / not-applicable</t>
        </is>
      </c>
      <c r="H4" s="38" t="inlineStr">
        <is>
          <t>URI of validation result that supports this factor (optional)</t>
        </is>
      </c>
    </row>
    <row r="5" ht="15" customHeight="1" s="18">
      <c r="A5" s="35" t="inlineStr">
        <is>
          <t>Software quality assurance</t>
        </is>
      </c>
      <c r="B5" s="36" t="inlineStr">
        <is>
          <t>Verification — Code</t>
        </is>
      </c>
      <c r="C5" s="41" t="n">
        <v>3</v>
      </c>
      <c r="D5" s="41" t="n">
        <v>2</v>
      </c>
      <c r="E5" s="42" t="inlineStr">
        <is>
          <t>Solver has documented vendor benchmarks; custom subroutines have unit tests; single solver version used consistently.</t>
        </is>
      </c>
      <c r="F5" s="41" t="inlineStr">
        <is>
          <t>Vendor benchmarks for linear elasticity, Hertz contact, and cantilever problems passed at &lt;0.6% error for Abaqus 2021 HF7 install. However, the custom USDFLD field subroutine (used to grade porous layer stiffness) has no documented unit test. Additionally, 13 of 44 production runs were executed on Abaqus 2022 GA due to a license outage, with no side-by-side confirmation that results are equivalent across versions. These gaps reduce confidence in software QA.</t>
        </is>
      </c>
      <c r="G5" s="41" t="inlineStr">
        <is>
          <t>assessed</t>
        </is>
      </c>
    </row>
    <row r="6" ht="15" customHeight="1" s="18">
      <c r="A6" s="36" t="inlineStr">
        <is>
          <t>Numerical code verification</t>
        </is>
      </c>
      <c r="B6" s="36" t="inlineStr">
        <is>
          <t>Verification — Code</t>
        </is>
      </c>
      <c r="C6" s="41" t="n">
        <v>3</v>
      </c>
      <c r="D6" s="41" t="n">
        <v>2</v>
      </c>
      <c r="E6" s="42" t="inlineStr">
        <is>
          <t>Code correctness demonstrated via analytical solution comparison or benchmark problems for the relevant physics (contact, nonlinear geometry).</t>
        </is>
      </c>
      <c r="F6" s="41" t="inlineStr">
        <is>
          <t>Vendor benchmarks cover linear elasticity and Hertz contact, which are partially relevant. However, there is no explicit benchmark for the nonlinear frictional contact problem with large-displacement geometry (NLGEOM) as applied here, and the USDFLD subroutine has no dedicated numerical verification test. The benchmark suite is commercially standard but not specifically tailored to the governing equations of this COU.</t>
        </is>
      </c>
      <c r="G6" s="41" t="inlineStr">
        <is>
          <t>assessed</t>
        </is>
      </c>
    </row>
    <row r="7" ht="15" customHeight="1" s="18">
      <c r="A7" s="35" t="inlineStr">
        <is>
          <t>Discretization error</t>
        </is>
      </c>
      <c r="B7" s="36" t="inlineStr">
        <is>
          <t>Verification — Calculation</t>
        </is>
      </c>
      <c r="C7" s="41" t="n">
        <v>4</v>
      </c>
      <c r="D7" s="41" t="n">
        <v>2</v>
      </c>
      <c r="E7" s="42" t="inlineStr">
        <is>
          <t>Mesh convergence demonstrated with &lt;3% change between refinement levels for key QoI; GCI computed consistently and reported correctly.</t>
        </is>
      </c>
      <c r="F7" s="41" t="inlineStr">
        <is>
          <t>Three mesh levels were run (Coarse, Medium, Fine). The Medium→Fine peak micromotion change is 8.1%, contradicting the Methods claim of &lt;3%. The reported GCI of 1.8% is inconsistent with the notebook-computed value of 6.8% using the same data (p=1.92). Stem peak stress is not converged (monotonically increasing: 732→789→846 MPa). Production sampling runs used the Medium mesh. Ninety-eight elements have aspect ratio &gt;5 near the calcar. These inconsistencies indicate discretization error is not adequately bounded.</t>
        </is>
      </c>
      <c r="G7" s="41" t="inlineStr">
        <is>
          <t>assessed</t>
        </is>
      </c>
    </row>
    <row r="8" ht="15" customHeight="1" s="18">
      <c r="A8" s="36" t="inlineStr">
        <is>
          <t>Numerical solver error</t>
        </is>
      </c>
      <c r="B8" s="36" t="inlineStr">
        <is>
          <t>Verification — Calculation</t>
        </is>
      </c>
      <c r="C8" s="41" t="n">
        <v>3</v>
      </c>
      <c r="D8" s="41" t="n">
        <v>2</v>
      </c>
      <c r="E8" s="42" t="inlineStr">
        <is>
          <t>Iterative convergence monitored and documented; consistent solver settings applied across all production runs.</t>
        </is>
      </c>
      <c r="F8" s="41" t="inlineStr">
        <is>
          <t>Full Newton with line search is used; default contact stabilization (0.0002) applied in some runs. A critical inconsistency exists: NLGEOM is stated as active, but RunSet_12 notes deactivate geometric stiffness for speed ("Small strain OK"), creating non-like-for-like comparisons. One stability run set penalty stiffness to kn=1.0e8 N/mm, reducing predicted slip by ~22% vs auto setting — an effect not discussed in the main text. No residual convergence plots or iteration count records are cited.</t>
        </is>
      </c>
      <c r="G8" s="41" t="inlineStr">
        <is>
          <t>assessed</t>
        </is>
      </c>
    </row>
    <row r="9" ht="15" customHeight="1" s="18">
      <c r="A9" s="36" t="inlineStr">
        <is>
          <t>Use error</t>
        </is>
      </c>
      <c r="B9" s="36" t="inlineStr">
        <is>
          <t>Verification — Calculation</t>
        </is>
      </c>
      <c r="C9" s="41" t="n">
        <v>3</v>
      </c>
      <c r="D9" s="41" t="n">
        <v>2</v>
      </c>
      <c r="E9" s="42" t="inlineStr">
        <is>
          <t>Independent review confirms boundary conditions, contact settings, and material assignments are correctly implemented; no contradictions between stated and applied settings.</t>
        </is>
      </c>
      <c r="F9" s="41" t="inlineStr">
        <is>
          <t>Multiple setup contradictions are documented: (1) contact stated as full friction but validation case uses proximal-third tied/distal frictional; (2) NLGEOM stated on but deactivated in RunSet_12; (3) distal constraint varies between encastre and elastic foundation springs without systematic documentation. Internal peer review was conducted by Dr. C. Len, who authored the contact sensitivity section and recused from final sign-off — limiting the independence of the review. Three runs are missing post-processing artifacts.</t>
        </is>
      </c>
      <c r="G9" s="41" t="inlineStr">
        <is>
          <t>assessed</t>
        </is>
      </c>
    </row>
    <row r="10" ht="15" customHeight="1" s="18">
      <c r="A10" s="35" t="inlineStr">
        <is>
          <t>Model form</t>
        </is>
      </c>
      <c r="B10" s="36" t="inlineStr">
        <is>
          <t>Validation — Model</t>
        </is>
      </c>
      <c r="C10" s="41" t="n">
        <v>3</v>
      </c>
      <c r="D10" s="41" t="n">
        <v>2</v>
      </c>
      <c r="E10" s="42" t="inlineStr">
        <is>
          <t>Governing equations and constitutive model choices are justified; known limitations are documented; model-form sensitivity is quantified.</t>
        </is>
      </c>
      <c r="F10" s="41" t="inlineStr">
        <is>
          <t>Linear elastic and bilinear plastic material models are both used for the stem across production runs without consistent selection criteria, making stress comparisons non-like-for-like. The orthotropic bone property set (RunSet_07) was trialed but abandoned due to meshing pipeline limits rather than physical justification. The interference fit ±20 µm tolerance is not modeled. Proximal tie vs full friction is a major model-form variant that shifts micromotion mean by −19% and was excluded from UQ. Limitations are documented in Slides 12 and 14, which is positive, but model-form uncertainty is not fully quantified.</t>
        </is>
      </c>
      <c r="G10" s="41" t="inlineStr">
        <is>
          <t>assessed</t>
        </is>
      </c>
    </row>
    <row r="11" ht="15" customHeight="1" s="18">
      <c r="A11" s="36" t="inlineStr">
        <is>
          <t>Model inputs</t>
        </is>
      </c>
      <c r="B11" s="36" t="inlineStr">
        <is>
          <t>Validation — Model</t>
        </is>
      </c>
      <c r="C11" s="41" t="n">
        <v>3</v>
      </c>
      <c r="D11" s="41" t="n">
        <v>2</v>
      </c>
      <c r="E11" s="42" t="inlineStr">
        <is>
          <t>Material properties and boundary conditions are sourced from measurements or well-characterized literature with uncertainty ranges; input uncertainty is propagated.</t>
        </is>
      </c>
      <c r="F11" s="41" t="inlineStr">
        <is>
          <t>Cortical bone modulus sourced from Reilly/Carter literature (range 14–18 GPa; 15.5 GPa selected). Cancellous modulus similarly literature-derived (0.3–0.6 GPa; 0.42 GPa used). Interference fit set at nominal 50 µm proximal; ±20 µm QA tolerance not modeled. Hip contact forces from Bergmann dataset, static peaks only. Friction coefficient μ=0.30 from literature but adjusted 0.22→0.34 during insertion force calibration. LHS UQ varied key inputs but with only 25 completed runs and excluding model-form variants. Input uncertainty characterization is partial.</t>
        </is>
      </c>
      <c r="G11" s="41" t="inlineStr">
        <is>
          <t>assessed</t>
        </is>
      </c>
    </row>
    <row r="12" ht="15" customHeight="1" s="18">
      <c r="A12" s="35" t="inlineStr">
        <is>
          <t>Test samples</t>
        </is>
      </c>
      <c r="B12" s="36" t="inlineStr">
        <is>
          <t>Validation — Comparator</t>
        </is>
      </c>
      <c r="C12" s="41" t="n">
        <v>3</v>
      </c>
      <c r="D12" s="41" t="n">
        <v>2</v>
      </c>
      <c r="E12" s="42" t="inlineStr">
        <is>
          <t>Sufficient test specimens with characterization; production-representative or well-characterized surrogate samples.</t>
        </is>
      </c>
      <c r="F12" s="41" t="inlineStr">
        <is>
          <t>A single synthetic femur (Sawbones 3403) was used for DIC validation. No specimen-to-specimen variability is characterized. Sawbones is a standard surrogate but is not production bone; its properties relative to the CT-derived DigitalFemur-42 used in FEA are not reconciled. No sample size justification is provided. A single specimen provides no statistical characterization of variability.</t>
        </is>
      </c>
      <c r="G12" s="41" t="inlineStr">
        <is>
          <t>assessed</t>
        </is>
      </c>
    </row>
    <row r="13" ht="15" customHeight="1" s="18">
      <c r="A13" s="36" t="inlineStr">
        <is>
          <t>Test conditions</t>
        </is>
      </c>
      <c r="B13" s="36" t="inlineStr">
        <is>
          <t>Validation — Comparator</t>
        </is>
      </c>
      <c r="C13" s="41" t="n">
        <v>3</v>
      </c>
      <c r="D13" s="41" t="n">
        <v>2</v>
      </c>
      <c r="E13" s="42" t="inlineStr">
        <is>
          <t>Calibrated instrumentation with documented measurement uncertainty; controlled test conditions; test protocol documented to a recognized standard.</t>
        </is>
      </c>
      <c r="F13" s="41" t="inlineStr">
        <is>
          <t>DIC stereocameras at 7 µm/pixel resolution are used, which is appropriate for the measurement scale. Loading is 2 kN axial plus abductor cable; potting at distal 45 mm. However, test load (2 kN) differs from simulation load case (3.0 kN heel-strike), creating a condition mismatch. No instrument calibration records, environmental controls, or formal test standard (ASTM/ISO) are cited. Measurement uncertainty of the DIC system is not reported.</t>
        </is>
      </c>
      <c r="G13" s="41" t="inlineStr">
        <is>
          <t>assessed</t>
        </is>
      </c>
    </row>
    <row r="14" ht="15" customHeight="1" s="18">
      <c r="A14" s="35" t="inlineStr">
        <is>
          <t>Equivalency of input parameters</t>
        </is>
      </c>
      <c r="B14" s="36" t="inlineStr">
        <is>
          <t>Validation — Assessment</t>
        </is>
      </c>
      <c r="C14" s="41" t="n">
        <v>3</v>
      </c>
      <c r="D14" s="41" t="n">
        <v>1</v>
      </c>
      <c r="E14" s="42" t="inlineStr">
        <is>
          <t>Model boundary conditions demonstrably match experimental test conditions; all significant differences are identified and their effect on QoI is quantified.</t>
        </is>
      </c>
      <c r="F14" s="41" t="inlineStr">
        <is>
          <t>Several significant mismatches exist between FEA inputs and validation test conditions: (1) validation test load is 2 kN vs simulation heel-strike of 3.0 kN; (2) friction coefficient μ was tuned using the same rig/operator that subsequently ran the DIC comparison, compromising independence; (3) contact treatment differs between production runs and validation case (tied proximal third vs full friction); (4) distal constraint (encastre vs elastic foundation) varies. These mismatches are acknowledged in Slides 13–14 but are not quantitatively reconciled.</t>
        </is>
      </c>
      <c r="G14" s="41" t="inlineStr">
        <is>
          <t>assessed</t>
        </is>
      </c>
    </row>
    <row r="15" ht="15" customHeight="1" s="18">
      <c r="A15" s="36" t="inlineStr">
        <is>
          <t>Output comparison</t>
        </is>
      </c>
      <c r="B15" s="36" t="inlineStr">
        <is>
          <t>Validation — Assessment</t>
        </is>
      </c>
      <c r="C15" s="41" t="n">
        <v>4</v>
      </c>
      <c r="D15" s="41" t="n">
        <v>2</v>
      </c>
      <c r="E15" s="42" t="inlineStr">
        <is>
          <t>Quantitative comparison of FEA to experimental data at multiple points with uncertainty bands; spatial distribution of errors assessed; metrics consistent across reporting.</t>
        </is>
      </c>
      <c r="F15" s="41" t="inlineStr">
        <is>
          <t>RMS micromotion over 8 markers is compared for two load cases. Single-leg stance error is −7.7% (acceptable); heel-strike error is −15% (exceeds typical thresholds). The headline "within 7%" claim is inconsistent with the detailed per-load-case data. FEA predicts peak slip medially while DIC shows it laterally — a spatial distribution mismatch not captured by RMS metric alone. No experimental uncertainty bounds are reported. Validation was not conducted with independent data (same rig and operator used for μ calibration and DIC comparison).</t>
        </is>
      </c>
      <c r="G15" s="41" t="inlineStr">
        <is>
          <t>assessed</t>
        </is>
      </c>
    </row>
    <row r="16" ht="15" customHeight="1" s="18">
      <c r="A16" s="35" t="inlineStr">
        <is>
          <t>Relevance of the quantities of interest</t>
        </is>
      </c>
      <c r="B16" s="36" t="inlineStr">
        <is>
          <t>Applicability</t>
        </is>
      </c>
      <c r="C16" s="41" t="n">
        <v>3</v>
      </c>
      <c r="D16" s="41" t="n">
        <v>3</v>
      </c>
      <c r="E16" s="42" t="inlineStr">
        <is>
          <t>QoI (peak interface micromotion) is directly linked to the clinical/regulatory concern (osseointegration threshold) and is measurable both computationally and experimentally.</t>
        </is>
      </c>
      <c r="F16" s="41" t="inlineStr">
        <is>
          <t>Peak relative micromotion at the proximal medial–lateral interface is the primary QoI and is directly relevant to the 40 µm osseointegration threshold for cementless implant primary stability. This metric is measurable by both FEA (nodal relative displacement at interface) and DIC (surface marker displacement). Secondary QoIs (stem von Mises stress, contact pressure) are also clinically relevant. The QoI choice is well-motivated and consistently applied.</t>
        </is>
      </c>
      <c r="G16" s="41" t="inlineStr">
        <is>
          <t>assessed</t>
        </is>
      </c>
    </row>
    <row r="17" ht="15" customHeight="1" s="18">
      <c r="A17" s="36" t="inlineStr">
        <is>
          <t>Relevance of the validation activities to the COU</t>
        </is>
      </c>
      <c r="B17" s="36" t="inlineStr">
        <is>
          <t>Applicability</t>
        </is>
      </c>
      <c r="C17" s="41" t="n">
        <v>4</v>
      </c>
      <c r="D17" s="41" t="n">
        <v>2</v>
      </c>
      <c r="E17" s="42" t="inlineStr">
        <is>
          <t>Validation test geometry, loading, material, and contact conditions closely match the intended COU; gaps between validation and COU are identified and bounded.</t>
        </is>
      </c>
      <c r="F17" s="41" t="inlineStr">
        <is>
          <t>Validation used Sawbones 3403 (surrogate, not CT-derived femur), load magnitude of 2 kN (vs 3.0 kN COU), a single load case, and the same operator who tuned μ. The COU requires absolute acceptance against 40 µm for Rev F under both heel-strike and single-leg stance with a &gt;20% safety margin, but validation conditions do not fully replicate this envelope. Torsional stumble and dynamic cases are excluded from both COU and validation scope, which is consistent. Gaps between validation conditions and COU are acknowledged in Slides 12–14 but are not quantitatively bounded, limiting applicability assessment.</t>
        </is>
      </c>
      <c r="G17" s="41" t="inlineStr">
        <is>
          <t>assessed</t>
        </is>
      </c>
    </row>
  </sheetData>
  <mergeCells count="2">
    <mergeCell ref="A2:F2"/>
    <mergeCell ref="A1:F1"/>
  </mergeCells>
  <dataValidations count="2">
    <dataValidation sqref="C5:D17" showDropDown="0" showInputMessage="0" showErrorMessage="0" allowBlank="1" type="list" errorStyle="stop" operator="between">
      <formula1>list_factor_level</formula1>
      <formula2>0</formula2>
    </dataValidation>
    <dataValidation sqref="F5:F17" showDropDown="0" showInputMessage="0" showErrorMessage="0" allowBlank="1" type="list" errorStyle="stop" operator="between">
      <formula1>list_assessed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60" customWidth="1" style="17" min="2" max="2"/>
    <col width="22" customWidth="1" style="17" min="3" max="3"/>
    <col width="25" customWidth="1" style="17" min="4" max="4"/>
    <col width="16" customWidth="1" style="17" min="5" max="5"/>
  </cols>
  <sheetData>
    <row r="1" ht="30" customHeight="1" s="18">
      <c r="A1" s="19" t="inlineStr">
        <is>
          <t>Decision — The credibility judgment</t>
        </is>
      </c>
    </row>
    <row r="2" ht="15" customHeight="1" s="18">
      <c r="A2" s="20" t="inlineStr">
        <is>
          <t>Decision Outcome</t>
        </is>
      </c>
      <c r="B2" s="20" t="inlineStr">
        <is>
          <t>Decision Rationale</t>
        </is>
      </c>
      <c r="C2" s="20" t="inlineStr">
        <is>
          <t>Criteria Set</t>
        </is>
      </c>
      <c r="D2" s="20" t="inlineStr">
        <is>
          <t>Decided By</t>
        </is>
      </c>
      <c r="E2" s="20" t="inlineStr">
        <is>
          <t>Decision Date</t>
        </is>
      </c>
    </row>
    <row r="3" ht="22.35" customHeight="1" s="18">
      <c r="A3" s="39" t="inlineStr">
        <is>
          <t>Not accepted</t>
        </is>
      </c>
      <c r="B3" s="39" t="inlineStr">
        <is>
          <t>The model is not accepted for its stated COU of absolute pass/fail determination against the 40 µm micromotion threshold. Multiple critical deficiencies preclude acceptance: (1) mesh convergence is not demonstrated — Medium→Fine change is 8.1% for the primary QoI with a GCI of 6.8%, and the Methods section contains a contradicted claim of &lt;3%; (2) inconsistent contact treatment (full friction vs proximal tie) and solver settings (NLGEOM on/off) across production runs make results non-comparable; (3) validation is compromised by lack of dataset independence (same operator tuned μ and ran DIC comparison), load magnitude mismatch (2 kN validation vs 3.0 kN COU), and a 15% error in the higher-load heel-strike case; (4) UQ is incomplete — only 25 of planned 100 LHS runs completed, model-form variant (proximal tie) producing −19% shift in micromotion is excluded from the uncertainty envelope, and bootstrap 95% half-width reaches 14–16%; (5) multiple method contradictions are unresolved. The model may be used in a comparative design-ranking role (Rev D vs Rev F) under consistent assumptions, consistent with the Slide 15 recommendation. Absolute acceptance against the 40 µm criterion should be deferred until: mesh convergence is confirmed at &lt;3% for micromotion, contact treatment is standardized, an independent DIC dataset is acquired, the full N=100 LHS is executed including model-form variants, and solver version is locked with cross-version verification.</t>
        </is>
      </c>
      <c r="C3" s="22" t="inlineStr">
        <is>
          <t>Auto-filled from Assessment Summary</t>
        </is>
      </c>
      <c r="D3" s="22" t="n"/>
      <c r="E3" s="22" t="n"/>
    </row>
    <row r="4" ht="15" customHeight="1" s="18">
      <c r="A4" s="24" t="n"/>
      <c r="B4" s="24" t="n"/>
      <c r="C4" s="25">
        <f>'Assessment Summary'!H4</f>
        <v/>
      </c>
      <c r="D4" s="25" t="n"/>
      <c r="E4" s="33" t="n"/>
    </row>
  </sheetData>
  <mergeCells count="1">
    <mergeCell ref="A1:E1"/>
  </mergeCells>
  <dataValidations count="1">
    <dataValidation sqref="A4" showDropDown="0" showInputMessage="0" showErrorMessage="0" allowBlank="0" error="Select Accepted, Not accepted, or Conditional" type="list" errorStyle="stop" operator="between">
      <formula1>list_decision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2026-03-31T17:48:36Z</dcterms:created>
  <dcterms:modified xmlns:dcterms="http://purl.org/dc/terms/" xmlns:xsi="http://www.w3.org/2001/XMLSchema-instance" xsi:type="dcterms:W3CDTF">2026-08-06T06:11:29Z</dcterms:modified>
  <cp:revision>0</cp:revision>
</cp:coreProperties>
</file>