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Assessment Summary" sheetId="1" state="visible" r:id="rId1"/>
    <sheet xmlns:r="http://schemas.openxmlformats.org/officeDocument/2006/relationships" name="Instructions" sheetId="2" state="visible" r:id="rId2"/>
    <sheet xmlns:r="http://schemas.openxmlformats.org/officeDocument/2006/relationships" name="_Lists" sheetId="3" state="hidden" r:id="rId3"/>
    <sheet xmlns:r="http://schemas.openxmlformats.org/officeDocument/2006/relationships" name="Model &amp; Data" sheetId="4" state="visible" r:id="rId4"/>
    <sheet xmlns:r="http://schemas.openxmlformats.org/officeDocument/2006/relationships" name="Validation Results" sheetId="5" state="visible" r:id="rId5"/>
    <sheet xmlns:r="http://schemas.openxmlformats.org/officeDocument/2006/relationships" name="Credibility Factors" sheetId="6" state="visible" r:id="rId6"/>
    <sheet xmlns:r="http://schemas.openxmlformats.org/officeDocument/2006/relationships" name="Decision" sheetId="7" state="visible" r:id="rId7"/>
  </sheets>
  <definedNames>
    <definedName name="list_assessed" hidden="0" function="0" vbProcedure="0">_Lists!$J$2:$J$4</definedName>
    <definedName name="list_assurance" hidden="0" function="0" vbProcedure="0">_Lists!$D$2:$D$4</definedName>
    <definedName name="list_decision" hidden="0" function="0" vbProcedure="0">_Lists!$K$2:$K$4</definedName>
    <definedName name="list_device_class" hidden="0" function="0" vbProcedure="0">_Lists!$B$2:$B$10</definedName>
    <definedName name="list_entity_type" hidden="0" function="0" vbProcedure="0">_Lists!$F$2:$F$4</definedName>
    <definedName name="list_factor_level" hidden="0" function="0" vbProcedure="0">_Lists!$I$2:$I$5</definedName>
    <definedName name="list_has_uq" hidden="0" function="0" vbProcedure="0">_Lists!$G$2:$G$3</definedName>
    <definedName name="list_mrl" hidden="0" function="0" vbProcedure="0">_Lists!$C$2:$C$6</definedName>
    <definedName name="list_pass_fail" hidden="0" function="0" vbProcedure="0">_Lists!$H$2:$H$5</definedName>
    <definedName name="list_profile" hidden="0" function="0" vbProcedure="0">_Lists!$A$2:$A$3</definedName>
    <definedName name="list_standards" hidden="0" function="0" vbProcedure="0">_Lists!$E$2:$E$5</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1B4F72"/>
      <sz val="14"/>
    </font>
    <font>
      <name val="Arial"/>
      <charset val="1"/>
      <family val="0"/>
      <b val="1"/>
      <color rgb="FFFFFFFF"/>
      <sz val="10"/>
    </font>
    <font>
      <name val="Arial"/>
      <charset val="1"/>
      <family val="0"/>
      <i val="1"/>
      <color rgb="FF666666"/>
      <sz val="9"/>
    </font>
    <font>
      <name val="Arial"/>
      <charset val="1"/>
      <family val="0"/>
      <sz val="10"/>
    </font>
    <font>
      <name val="Arial"/>
      <charset val="1"/>
      <family val="0"/>
      <b val="1"/>
      <sz val="9"/>
    </font>
    <font>
      <name val="Arial"/>
      <charset val="1"/>
      <family val="0"/>
      <sz val="9"/>
    </font>
    <font>
      <name val="Arial"/>
      <charset val="1"/>
      <family val="0"/>
      <b val="1"/>
      <color rgb="FF1B4F72"/>
      <sz val="10"/>
    </font>
    <font>
      <name val="Cambria"/>
      <charset val="1"/>
      <family val="0"/>
      <b val="1"/>
      <sz val="11"/>
    </font>
    <font>
      <name val="Arial"/>
      <charset val="1"/>
      <family val="0"/>
      <i val="1"/>
      <color rgb="FF555555"/>
      <sz val="10"/>
    </font>
    <font>
      <name val="Arial"/>
      <charset val="1"/>
      <family val="0"/>
      <b val="1"/>
      <sz val="10"/>
    </font>
    <font>
      <name val="Arial"/>
      <b val="1"/>
      <color rgb="00FFFFFF"/>
      <sz val="10"/>
    </font>
    <font>
      <name val="Arial"/>
      <color rgb="00666666"/>
      <sz val="9"/>
    </font>
  </fonts>
  <fills count="10">
    <fill>
      <patternFill/>
    </fill>
    <fill>
      <patternFill patternType="gray125"/>
    </fill>
    <fill>
      <patternFill patternType="solid">
        <fgColor rgb="FF1B4F72"/>
        <bgColor rgb="FF333399"/>
      </patternFill>
    </fill>
    <fill>
      <patternFill patternType="solid">
        <fgColor rgb="FFF2F3F4"/>
        <bgColor rgb="FFFFFFFF"/>
      </patternFill>
    </fill>
    <fill>
      <patternFill patternType="solid">
        <fgColor rgb="FFD6EAF8"/>
        <bgColor rgb="FFD5F5E3"/>
      </patternFill>
    </fill>
    <fill>
      <patternFill patternType="solid">
        <fgColor rgb="FFD5F5E3"/>
        <bgColor rgb="FFD6EAF8"/>
      </patternFill>
    </fill>
    <fill>
      <patternFill patternType="solid">
        <fgColor rgb="FFFFFFFF"/>
        <bgColor rgb="FFF2F3F4"/>
      </patternFill>
    </fill>
    <fill>
      <patternFill patternType="solid">
        <fgColor rgb="001B4F72"/>
      </patternFill>
    </fill>
    <fill>
      <patternFill patternType="solid">
        <fgColor rgb="00F2F3F4"/>
      </patternFill>
    </fill>
    <fill>
      <patternFill patternType="solid">
        <fgColor rgb="00FFEB9C"/>
        <bgColor rgb="00FFEB9C"/>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00CCCCCC"/>
      </left>
      <right style="thin">
        <color rgb="00CCCCCC"/>
      </right>
      <top style="thin">
        <color rgb="00CCCCCC"/>
      </top>
      <bottom style="thin">
        <color rgb="00CCCCCC"/>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3">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1" applyAlignment="1" pivotButton="0" quotePrefix="0" xfId="0">
      <alignment horizontal="center" vertical="center" wrapText="1"/>
    </xf>
    <xf numFmtId="0" fontId="6" fillId="3" borderId="1" applyAlignment="1" pivotButton="0" quotePrefix="0" xfId="0">
      <alignment horizontal="general" vertical="top" wrapText="1"/>
    </xf>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8" fillId="0" borderId="0" applyAlignment="1" pivotButton="0" quotePrefix="0" xfId="0">
      <alignment horizontal="general" vertical="bottom"/>
    </xf>
    <xf numFmtId="0" fontId="9" fillId="4" borderId="0" applyAlignment="1" pivotButton="0" quotePrefix="0" xfId="0">
      <alignment horizontal="general" vertical="bottom"/>
    </xf>
    <xf numFmtId="0" fontId="9" fillId="5"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7" fillId="0" borderId="0" applyAlignment="1" pivotButton="0" quotePrefix="0" xfId="0">
      <alignment horizontal="general" vertical="bottom" wrapText="1"/>
    </xf>
    <xf numFmtId="0" fontId="11" fillId="0" borderId="0" applyAlignment="1" pivotButton="0" quotePrefix="0" xfId="0">
      <alignment horizontal="general" vertical="bottom"/>
    </xf>
    <xf numFmtId="0" fontId="7" fillId="6" borderId="1" applyAlignment="1" pivotButton="0" quotePrefix="0" xfId="0">
      <alignment horizontal="general" vertical="top" wrapText="1"/>
    </xf>
    <xf numFmtId="0" fontId="12" fillId="0" borderId="0" applyAlignment="1" pivotButton="0" quotePrefix="0" xfId="0">
      <alignment horizontal="general" vertical="bottom" wrapText="1"/>
    </xf>
    <xf numFmtId="0" fontId="13" fillId="3" borderId="1" applyAlignment="1" pivotButton="0" quotePrefix="0" xfId="0">
      <alignment horizontal="general" vertical="top" wrapText="1"/>
    </xf>
    <xf numFmtId="0" fontId="7" fillId="3"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2" borderId="1" applyAlignment="1" pivotButton="0" quotePrefix="0" xfId="0">
      <alignment horizontal="center" vertical="center" wrapText="1"/>
    </xf>
    <xf numFmtId="0" fontId="5" fillId="2" borderId="0" applyAlignment="1" pivotButton="0" quotePrefix="0" xfId="0">
      <alignment horizontal="center" vertical="center" wrapText="1"/>
    </xf>
    <xf numFmtId="0" fontId="6" fillId="3" borderId="1" applyAlignment="1" pivotButton="0" quotePrefix="0" xfId="0">
      <alignment horizontal="general" vertical="top" wrapText="1"/>
    </xf>
    <xf numFmtId="0" fontId="6" fillId="0" borderId="0" pivotButton="0" quotePrefix="0" xfId="0"/>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8" fillId="0" borderId="0" applyAlignment="1" pivotButton="0" quotePrefix="0" xfId="0">
      <alignment horizontal="general" vertical="bottom"/>
    </xf>
    <xf numFmtId="0" fontId="9" fillId="4" borderId="0" applyAlignment="1" pivotButton="0" quotePrefix="0" xfId="0">
      <alignment horizontal="general" vertical="bottom"/>
    </xf>
    <xf numFmtId="0" fontId="9" fillId="5"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7" fillId="0" borderId="0" applyAlignment="1" pivotButton="0" quotePrefix="0" xfId="0">
      <alignment horizontal="general" vertical="bottom" wrapText="1"/>
    </xf>
    <xf numFmtId="0" fontId="11" fillId="0" borderId="0" applyAlignment="1" pivotButton="0" quotePrefix="0" xfId="0">
      <alignment horizontal="general" vertical="bottom"/>
    </xf>
    <xf numFmtId="0" fontId="7" fillId="6" borderId="1" applyAlignment="1" pivotButton="0" quotePrefix="0" xfId="0">
      <alignment horizontal="general" vertical="top" wrapText="1"/>
    </xf>
    <xf numFmtId="0" fontId="12" fillId="0" borderId="0" applyAlignment="1" pivotButton="0" quotePrefix="0" xfId="0">
      <alignment horizontal="general" vertical="bottom" wrapText="1"/>
    </xf>
    <xf numFmtId="0" fontId="13" fillId="3" borderId="1" applyAlignment="1" pivotButton="0" quotePrefix="0" xfId="0">
      <alignment horizontal="general" vertical="top" wrapText="1"/>
    </xf>
    <xf numFmtId="0" fontId="7" fillId="3" borderId="1" applyAlignment="1" pivotButton="0" quotePrefix="0" xfId="0">
      <alignment horizontal="general" vertical="top" wrapText="1"/>
    </xf>
    <xf numFmtId="0" fontId="14" fillId="7" borderId="2" applyAlignment="1" pivotButton="0" quotePrefix="0" xfId="0">
      <alignment horizontal="center" vertical="center" wrapText="1"/>
    </xf>
    <xf numFmtId="0" fontId="15" fillId="8" borderId="2" applyAlignment="1" pivotButton="0" quotePrefix="0" xfId="0">
      <alignment vertical="top" wrapText="1"/>
    </xf>
    <xf numFmtId="0" fontId="6" fillId="9" borderId="1" applyAlignment="1" pivotButton="0" quotePrefix="0" xfId="0">
      <alignment horizontal="general" vertical="top" wrapText="1"/>
    </xf>
    <xf numFmtId="0" fontId="6" fillId="9" borderId="0" pivotButton="0" quotePrefix="0" xfId="0"/>
    <xf numFmtId="0" fontId="7" fillId="9" borderId="1" applyAlignment="1" pivotButton="0" quotePrefix="0" xfId="0">
      <alignment horizontal="general" vertical="top" wrapText="1"/>
    </xf>
    <xf numFmtId="0" fontId="0" fillId="9"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2F3F4"/>
      <rgbColor rgb="FFD6EA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5F5E3"/>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B4F72"/>
      <rgbColor rgb="FF339966"/>
      <rgbColor rgb="FF003300"/>
      <rgbColor rgb="FF333300"/>
      <rgbColor rgb="FF993300"/>
      <rgbColor rgb="FF993366"/>
      <rgbColor rgb="FF333399"/>
      <rgbColor rgb="FF555555"/>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C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L3" authorId="0" shapeId="0">
      <text>
        <t>[Extract] | Confidence: 50%</t>
      </text>
    </comment>
  </commentList>
</comments>
</file>

<file path=xl/comments/comment2.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List>
</comments>
</file>

<file path=xl/comments/comment3.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E4" authorId="0" shapeId="0">
      <text>
        <t>[Extract] | Confidence: 50%</t>
      </text>
    </comment>
    <comment ref="F4" authorId="0" shapeId="0">
      <text>
        <t>[Extract] | Confidence: 50%</t>
      </text>
    </comment>
    <comment ref="H4" authorId="0" shapeId="0">
      <text>
        <t>[Extract] | Confidence: 50%</t>
      </text>
    </comment>
    <comment ref="I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H5" authorId="0" shapeId="0">
      <text>
        <t>[Extract] | Confidence: 50%</t>
      </text>
    </comment>
    <comment ref="I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H6" authorId="0" shapeId="0">
      <text>
        <t>[Extract] | Confidence: 50%</t>
      </text>
    </comment>
    <comment ref="I6" authorId="0" shapeId="0">
      <text>
        <t>[Extract] | Confidence: 50%</t>
      </text>
    </comment>
    <comment ref="A7" authorId="0" shapeId="0">
      <text>
        <t>[Extract] | Confidence: 50%</t>
      </text>
    </comment>
    <comment ref="B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H7" authorId="0" shapeId="0">
      <text>
        <t>[Extract] | Confidence: 50%</t>
      </text>
    </comment>
    <comment ref="I7" authorId="0" shapeId="0">
      <text>
        <t>[Extract] | Confidence: 50%</t>
      </text>
    </comment>
  </commentList>
</comments>
</file>

<file path=xl/comments/comment4.xml><?xml version="1.0" encoding="utf-8"?>
<comments xmlns="http://schemas.openxmlformats.org/spreadsheetml/2006/main">
  <authors>
    <author>uofa extract</author>
  </authors>
  <commentList>
    <comment ref="C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G5" authorId="0" shapeId="0">
      <text>
        <t>[Extract] | Confidence: 50%</t>
      </text>
    </comment>
    <comment ref="C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C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G7" authorId="0" shapeId="0">
      <text>
        <t>[Extract] | Confidence: 50%</t>
      </text>
    </comment>
    <comment ref="C8" authorId="0" shapeId="0">
      <text>
        <t>[Extract] | Confidence: 50%</t>
      </text>
    </comment>
    <comment ref="D8" authorId="0" shapeId="0">
      <text>
        <t>[Extract] | Confidence: 50%</t>
      </text>
    </comment>
    <comment ref="E8" authorId="0" shapeId="0">
      <text>
        <t>[Extract] | Confidence: 50%</t>
      </text>
    </comment>
    <comment ref="F8" authorId="0" shapeId="0">
      <text>
        <t>[Extract] | Confidence: 50%</t>
      </text>
    </comment>
    <comment ref="G8" authorId="0" shapeId="0">
      <text>
        <t>[Extract] | Confidence: 50%</t>
      </text>
    </comment>
    <comment ref="C9" authorId="0" shapeId="0">
      <text>
        <t>[Extract] | Confidence: 50%</t>
      </text>
    </comment>
    <comment ref="D9" authorId="0" shapeId="0">
      <text>
        <t>[Extract] | Confidence: 50%</t>
      </text>
    </comment>
    <comment ref="E9" authorId="0" shapeId="0">
      <text>
        <t>[Extract] | Confidence: 50%</t>
      </text>
    </comment>
    <comment ref="F9" authorId="0" shapeId="0">
      <text>
        <t>[Extract] | Confidence: 50%</t>
      </text>
    </comment>
    <comment ref="G9" authorId="0" shapeId="0">
      <text>
        <t>[Extract] | Confidence: 50%</t>
      </text>
    </comment>
    <comment ref="C10" authorId="0" shapeId="0">
      <text>
        <t>[Extract] | Confidence: 50%</t>
      </text>
    </comment>
    <comment ref="D10" authorId="0" shapeId="0">
      <text>
        <t>[Extract] | Confidence: 50%</t>
      </text>
    </comment>
    <comment ref="E10" authorId="0" shapeId="0">
      <text>
        <t>[Extract] | Confidence: 50%</t>
      </text>
    </comment>
    <comment ref="F10" authorId="0" shapeId="0">
      <text>
        <t>[Extract] | Confidence: 50%</t>
      </text>
    </comment>
    <comment ref="G10" authorId="0" shapeId="0">
      <text>
        <t>[Extract] | Confidence: 50%</t>
      </text>
    </comment>
    <comment ref="C11" authorId="0" shapeId="0">
      <text>
        <t>[Extract] | Confidence: 50%</t>
      </text>
    </comment>
    <comment ref="D11" authorId="0" shapeId="0">
      <text>
        <t>[Extract] | Confidence: 50%</t>
      </text>
    </comment>
    <comment ref="E11" authorId="0" shapeId="0">
      <text>
        <t>[Extract] | Confidence: 50%</t>
      </text>
    </comment>
    <comment ref="F11" authorId="0" shapeId="0">
      <text>
        <t>[Extract] | Confidence: 50%</t>
      </text>
    </comment>
    <comment ref="G11" authorId="0" shapeId="0">
      <text>
        <t>[Extract] | Confidence: 50%</t>
      </text>
    </comment>
    <comment ref="C12" authorId="0" shapeId="0">
      <text>
        <t>[Extract] | Confidence: 50%</t>
      </text>
    </comment>
    <comment ref="D12" authorId="0" shapeId="0">
      <text>
        <t>[Extract] | Confidence: 50%</t>
      </text>
    </comment>
    <comment ref="E12" authorId="0" shapeId="0">
      <text>
        <t>[Extract] | Confidence: 50%</t>
      </text>
    </comment>
    <comment ref="F12" authorId="0" shapeId="0">
      <text>
        <t>[Extract] | Confidence: 50%</t>
      </text>
    </comment>
    <comment ref="G12" authorId="0" shapeId="0">
      <text>
        <t>[Extract] | Confidence: 50%</t>
      </text>
    </comment>
    <comment ref="C13" authorId="0" shapeId="0">
      <text>
        <t>[Extract] | Confidence: 50%</t>
      </text>
    </comment>
    <comment ref="D13" authorId="0" shapeId="0">
      <text>
        <t>[Extract] | Confidence: 50%</t>
      </text>
    </comment>
    <comment ref="E13" authorId="0" shapeId="0">
      <text>
        <t>[Extract] | Confidence: 50%</t>
      </text>
    </comment>
    <comment ref="F13" authorId="0" shapeId="0">
      <text>
        <t>[Extract] | Confidence: 50%</t>
      </text>
    </comment>
    <comment ref="G13" authorId="0" shapeId="0">
      <text>
        <t>[Extract] | Confidence: 50%</t>
      </text>
    </comment>
    <comment ref="C14" authorId="0" shapeId="0">
      <text>
        <t>[Extract] | Confidence: 50%</t>
      </text>
    </comment>
    <comment ref="D14" authorId="0" shapeId="0">
      <text>
        <t>[Extract] | Confidence: 50%</t>
      </text>
    </comment>
    <comment ref="E14" authorId="0" shapeId="0">
      <text>
        <t>[Extract] | Confidence: 50%</t>
      </text>
    </comment>
    <comment ref="F14" authorId="0" shapeId="0">
      <text>
        <t>[Extract] | Confidence: 50%</t>
      </text>
    </comment>
    <comment ref="G14" authorId="0" shapeId="0">
      <text>
        <t>[Extract] | Confidence: 50%</t>
      </text>
    </comment>
    <comment ref="C15" authorId="0" shapeId="0">
      <text>
        <t>[Extract] | Confidence: 50%</t>
      </text>
    </comment>
    <comment ref="D15" authorId="0" shapeId="0">
      <text>
        <t>[Extract] | Confidence: 50%</t>
      </text>
    </comment>
    <comment ref="E15" authorId="0" shapeId="0">
      <text>
        <t>[Extract] | Confidence: 50%</t>
      </text>
    </comment>
    <comment ref="F15" authorId="0" shapeId="0">
      <text>
        <t>[Extract] | Confidence: 50%</t>
      </text>
    </comment>
    <comment ref="G15" authorId="0" shapeId="0">
      <text>
        <t>[Extract] | Confidence: 50%</t>
      </text>
    </comment>
    <comment ref="C16" authorId="0" shapeId="0">
      <text>
        <t>[Extract] | Confidence: 50%</t>
      </text>
    </comment>
    <comment ref="D16" authorId="0" shapeId="0">
      <text>
        <t>[Extract] | Confidence: 50%</t>
      </text>
    </comment>
    <comment ref="E16" authorId="0" shapeId="0">
      <text>
        <t>[Extract] | Confidence: 50%</t>
      </text>
    </comment>
    <comment ref="F16" authorId="0" shapeId="0">
      <text>
        <t>[Extract] | Confidence: 50%</t>
      </text>
    </comment>
    <comment ref="G16" authorId="0" shapeId="0">
      <text>
        <t>[Extract] | Confidence: 50%</t>
      </text>
    </comment>
    <comment ref="C17" authorId="0" shapeId="0">
      <text>
        <t>[Extract] | Confidence: 50%</t>
      </text>
    </comment>
    <comment ref="D17" authorId="0" shapeId="0">
      <text>
        <t>[Extract] | Confidence: 50%</t>
      </text>
    </comment>
    <comment ref="E17" authorId="0" shapeId="0">
      <text>
        <t>[Extract] | Confidence: 50%</t>
      </text>
    </comment>
    <comment ref="F17" authorId="0" shapeId="0">
      <text>
        <t>[Extract] | Confidence: 50%</t>
      </text>
    </comment>
    <comment ref="G17" authorId="0" shapeId="0">
      <text>
        <t>[Extract] | Confidence: 50%</t>
      </text>
    </comment>
  </commentList>
</comments>
</file>

<file path=xl/comments/comment5.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filterMode="0">
    <outlinePr summaryBelow="1" summaryRight="1"/>
    <pageSetUpPr fitToPage="1"/>
  </sheetPr>
  <dimension ref="A1:L6"/>
  <sheetViews>
    <sheetView showFormulas="0" showGridLines="1" showRowColHeaders="1" showZeros="1" rightToLeft="0" tabSelected="1"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7" min="1" max="1"/>
    <col width="30" customWidth="1" style="17" min="2" max="2"/>
    <col width="40" customWidth="1" style="17" min="3" max="3"/>
    <col width="12" customWidth="1" style="17" min="4" max="4"/>
    <col width="14" customWidth="1" style="17" min="5" max="5"/>
    <col width="16" customWidth="1" style="17" min="6" max="6"/>
    <col width="14" customWidth="1" style="17" min="7" max="7"/>
    <col width="20" customWidth="1" style="17" min="8" max="8"/>
    <col width="22" customWidth="1" style="17" min="9" max="9"/>
    <col width="16" customWidth="1" style="17" min="10" max="10"/>
    <col width="30" customWidth="1" style="17" min="11" max="11"/>
  </cols>
  <sheetData>
    <row r="1" ht="30" customHeight="1" s="18">
      <c r="A1" s="19" t="inlineStr">
        <is>
          <t>Unit of Assurance — Assessment Summary</t>
        </is>
      </c>
    </row>
    <row r="2" ht="23.85" customHeight="1" s="18">
      <c r="A2" s="20" t="inlineStr">
        <is>
          <t>Project Name</t>
        </is>
      </c>
      <c r="B2" s="20" t="inlineStr">
        <is>
          <t>COU Name</t>
        </is>
      </c>
      <c r="C2" s="20" t="inlineStr">
        <is>
          <t>COU Description</t>
        </is>
      </c>
      <c r="D2" s="20" t="inlineStr">
        <is>
          <t>Profile</t>
        </is>
      </c>
      <c r="E2" s="20" t="inlineStr">
        <is>
          <t>Device Class</t>
        </is>
      </c>
      <c r="F2" s="20" t="inlineStr">
        <is>
          <t>Model Risk Level</t>
        </is>
      </c>
      <c r="G2" s="20" t="inlineStr">
        <is>
          <t>Assurance Level</t>
        </is>
      </c>
      <c r="H2" s="20" t="inlineStr">
        <is>
          <t>Standards Reference</t>
        </is>
      </c>
      <c r="I2" s="20" t="inlineStr">
        <is>
          <t>Assessor Name</t>
        </is>
      </c>
      <c r="J2" s="20" t="inlineStr">
        <is>
          <t>Assessment Date</t>
        </is>
      </c>
      <c r="K2" s="20" t="inlineStr">
        <is>
          <t>Source Document</t>
        </is>
      </c>
      <c r="L2" s="21" t="inlineStr">
        <is>
          <t>Has UQ?</t>
        </is>
      </c>
    </row>
    <row r="3" ht="32.8" customHeight="1" s="18">
      <c r="A3" s="39" t="inlineStr">
        <is>
          <t>eVTOL Avionics Bracket Static Stress Evaluation</t>
        </is>
      </c>
      <c r="B3" s="39" t="inlineStr">
        <is>
          <t>Finite-element prediction of peak stress and tip deflection in an eVTOL avionics L-bracket under a quasi-static 15 g limit load</t>
        </is>
      </c>
      <c r="C3" s="39" t="inlineStr">
        <is>
          <t>A linear-elastic FEA model in Ansys Mechanical 2024 R1 is used to predict the maximum von Mises stress at the web–flange fillet and the tip deflection at the avionics CG of an aluminum 7075-T6 L-bracket fastening a 6.5 kg radar altimeter to a forward fuselage rib. The governing design event is a vertical 15 g quasi-static inertia case at room temperature. Results are used for preliminary structural release and downstream topology and rib-compliance assessments.</t>
        </is>
      </c>
      <c r="D3" s="39" t="inlineStr">
        <is>
          <t>Complete</t>
        </is>
      </c>
      <c r="E3" s="39" t="inlineStr">
        <is>
          <t>N/A</t>
        </is>
      </c>
      <c r="F3" s="39" t="inlineStr">
        <is>
          <t>MRL 3</t>
        </is>
      </c>
      <c r="G3" s="39" t="inlineStr">
        <is>
          <t>Medium</t>
        </is>
      </c>
      <c r="H3" s="39" t="inlineStr">
        <is>
          <t>ASME-VV40-2018</t>
        </is>
      </c>
      <c r="I3" s="39" t="inlineStr">
        <is>
          <t>D. Rao</t>
        </is>
      </c>
      <c r="J3" s="22" t="inlineStr">
        <is>
          <t>Date of this assessment (YYYY-MM-DD)</t>
        </is>
      </c>
      <c r="K3" s="22" t="inlineStr">
        <is>
          <t>DOI, report number, or URI</t>
        </is>
      </c>
      <c r="L3" s="40" t="inlineStr">
        <is>
          <t>Yes</t>
        </is>
      </c>
    </row>
    <row r="4" ht="15" customHeight="1" s="18">
      <c r="A4" s="24" t="n"/>
      <c r="B4" s="24" t="n"/>
      <c r="C4" s="25" t="n"/>
      <c r="D4" s="24" t="n"/>
      <c r="E4" s="25" t="n"/>
      <c r="F4" s="25" t="n"/>
      <c r="G4" s="25" t="n"/>
      <c r="H4" s="25" t="n"/>
      <c r="I4" s="24" t="n"/>
      <c r="J4" s="24" t="n"/>
      <c r="K4" s="25" t="n"/>
    </row>
    <row r="6" ht="15" customHeight="1" s="18">
      <c r="A6" s="26" t="inlineStr">
        <is>
          <t>Legend:</t>
        </is>
      </c>
      <c r="C6" s="27" t="inlineStr">
        <is>
          <t>Required (Minimal)</t>
        </is>
      </c>
      <c r="D6" s="28" t="inlineStr">
        <is>
          <t>Required (Complete)</t>
        </is>
      </c>
      <c r="E6" s="29" t="inlineStr">
        <is>
          <t>Optional</t>
        </is>
      </c>
    </row>
  </sheetData>
  <mergeCells count="2">
    <mergeCell ref="A1:K1"/>
    <mergeCell ref="A6:B6"/>
  </mergeCells>
  <dataValidations count="5">
    <dataValidation sqref="D4" showDropDown="0" showInputMessage="0" showErrorMessage="0" allowBlank="0" error="Select Minimal or Complete" type="list" errorStyle="stop" operator="between">
      <formula1>list_profile</formula1>
      <formula2>0</formula2>
    </dataValidation>
    <dataValidation sqref="E4" showDropDown="0" showInputMessage="0" showErrorMessage="0" allowBlank="1" type="list" errorStyle="stop" operator="between">
      <formula1>list_device_class</formula1>
      <formula2>0</formula2>
    </dataValidation>
    <dataValidation sqref="F4" showDropDown="0" showInputMessage="0" showErrorMessage="0" allowBlank="1" type="list" errorStyle="stop" operator="between">
      <formula1>list_mrl</formula1>
      <formula2>0</formula2>
    </dataValidation>
    <dataValidation sqref="G4" showDropDown="0" showInputMessage="0" showErrorMessage="0" allowBlank="1" type="list" errorStyle="stop" operator="between">
      <formula1>list_assurance</formula1>
      <formula2>0</formula2>
    </dataValidation>
    <dataValidation sqref="H4" showDropDown="0" showInputMessage="0" showErrorMessage="0" allowBlank="1" type="list" errorStyle="stop" operator="between">
      <formula1>list_standards</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1"/>
  </sheetPr>
  <dimension ref="A1:B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7" min="1" max="1"/>
    <col width="90" customWidth="1" style="17" min="2" max="2"/>
  </cols>
  <sheetData>
    <row r="1" ht="30" customHeight="1" s="18">
      <c r="A1" s="19" t="inlineStr">
        <is>
          <t>UofA Excel Template — Instructions</t>
        </is>
      </c>
    </row>
    <row r="3" ht="39.75" customHeight="1" s="18">
      <c r="A3" s="30" t="inlineStr">
        <is>
          <t>What is this?</t>
        </is>
      </c>
      <c r="B3" s="31" t="inlineStr">
        <is>
          <t>This workbook captures a credibility assessment for one Context of Use (COU). Fill it out, then run `uofa import` to convert it to a machine-verifiable evidence package.</t>
        </is>
      </c>
    </row>
    <row r="4" ht="39.75" customHeight="1" s="18">
      <c r="A4" s="30" t="inlineStr">
        <is>
          <t>One workbook = one COU</t>
        </is>
      </c>
      <c r="B4" s="31" t="inlineStr">
        <is>
          <t>If your project has multiple COUs (e.g., different device classes or risk levels for the same model), create a separate workbook for each.</t>
        </is>
      </c>
    </row>
    <row r="5" ht="39.75" customHeight="1" s="18">
      <c r="A5" s="30" t="inlineStr">
        <is>
          <t>Profiles</t>
        </is>
      </c>
      <c r="B5" s="31" t="inlineStr">
        <is>
          <t>Minimal (7 fields, lightweight audit trail) is for early-stage projects or live pipeline capture. Complete (full V&amp;V 40 assessment) is for regulatory submissions.</t>
        </is>
      </c>
    </row>
    <row r="6" ht="39.75" customHeight="1" s="18">
      <c r="A6" s="30" t="inlineStr">
        <is>
          <t>Color coding</t>
        </is>
      </c>
      <c r="B6" s="31" t="inlineStr">
        <is>
          <t>Blue cells = required for Minimal profile. Green cells = required for Complete profile. White cells = optional.</t>
        </is>
      </c>
    </row>
    <row r="7" ht="39.75" customHeight="1" s="18">
      <c r="A7" s="30" t="inlineStr">
        <is>
          <t>Credibility Factors</t>
        </is>
      </c>
      <c r="B7" s="31" t="inlineStr">
        <is>
          <t>Sheet 4 is pre-populated with all 13 V&amp;V 40 factors from Table 5-1. You do not need to assess all 13 — set Assessed = "No" or "N/A" for factors not relevant to your COU.</t>
        </is>
      </c>
    </row>
    <row r="8" ht="39.75" customHeight="1" s="18">
      <c r="A8" s="30" t="inlineStr">
        <is>
          <t>Dropdowns</t>
        </is>
      </c>
      <c r="B8" s="31" t="inlineStr">
        <is>
          <t>Most constrained fields use dropdown lists. If you need a custom value not in the dropdown, type it directly (the validation will warn but not prevent entry).</t>
        </is>
      </c>
    </row>
    <row r="9" ht="39.75" customHeight="1" s="18">
      <c r="A9" s="30" t="inlineStr">
        <is>
          <t>After filling out</t>
        </is>
      </c>
      <c r="B9" s="31" t="inlineStr">
        <is>
          <t>Run: uofa import your-file.xlsx --sign --key keys/your.key --check</t>
        </is>
      </c>
    </row>
    <row r="10" ht="39.75" customHeight="1" s="18">
      <c r="A10" s="30" t="inlineStr">
        <is>
          <t>What the tool checks</t>
        </is>
      </c>
      <c r="B10" s="31" t="inlineStr">
        <is>
          <t>Gate 1 (SHACL): Are all required fields present? Gate 2 (Jena rules): Are there quality gaps (weakeners)? Gate 3 (Integrity): Is the hash and signature valid?</t>
        </is>
      </c>
    </row>
    <row r="11" ht="39.75" customHeight="1" s="18">
      <c r="A11" s="30" t="inlineStr">
        <is>
          <t>More info</t>
        </is>
      </c>
      <c r="B11" s="31" t="inlineStr">
        <is>
          <t>https://crediblesimulation.com | https://github.com/cloudronin/uofa</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L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sheetData>
    <row r="1" ht="15" customHeight="1" s="18">
      <c r="A1" s="32" t="inlineStr">
        <is>
          <t>Profile</t>
        </is>
      </c>
      <c r="B1" s="32" t="inlineStr">
        <is>
          <t>Device Class</t>
        </is>
      </c>
      <c r="C1" s="32" t="inlineStr">
        <is>
          <t>Model Risk Level</t>
        </is>
      </c>
      <c r="D1" s="32" t="inlineStr">
        <is>
          <t>Assurance Level</t>
        </is>
      </c>
      <c r="E1" s="32" t="inlineStr">
        <is>
          <t>Standards Reference</t>
        </is>
      </c>
      <c r="F1" s="32" t="inlineStr">
        <is>
          <t>Entity Type</t>
        </is>
      </c>
      <c r="G1" s="32" t="inlineStr">
        <is>
          <t>Has UQ</t>
        </is>
      </c>
      <c r="H1" s="32" t="inlineStr">
        <is>
          <t>Pass/Fail</t>
        </is>
      </c>
      <c r="I1" s="32" t="inlineStr">
        <is>
          <t>Factor Level (1-5)</t>
        </is>
      </c>
      <c r="J1" s="32" t="inlineStr">
        <is>
          <t>Factor Status</t>
        </is>
      </c>
      <c r="K1" s="32" t="inlineStr">
        <is>
          <t>Decision Outcome</t>
        </is>
      </c>
      <c r="L1" s="17" t="inlineStr">
        <is>
          <t>Has UQ (COU-level)</t>
        </is>
      </c>
    </row>
    <row r="2" ht="15" customHeight="1" s="18">
      <c r="A2" s="17" t="inlineStr">
        <is>
          <t>Minimal</t>
        </is>
      </c>
      <c r="B2" s="17" t="inlineStr">
        <is>
          <t>Class I</t>
        </is>
      </c>
      <c r="C2" s="17" t="inlineStr">
        <is>
          <t>MRL 1</t>
        </is>
      </c>
      <c r="D2" s="17" t="inlineStr">
        <is>
          <t>Low</t>
        </is>
      </c>
      <c r="E2" s="17" t="inlineStr">
        <is>
          <t>ASME-VV40-2018</t>
        </is>
      </c>
      <c r="F2" s="17" t="inlineStr">
        <is>
          <t>Requirement</t>
        </is>
      </c>
      <c r="G2" s="17" t="inlineStr">
        <is>
          <t>Yes</t>
        </is>
      </c>
      <c r="H2" s="17" t="inlineStr">
        <is>
          <t>Pass</t>
        </is>
      </c>
      <c r="I2" s="17" t="n">
        <v>1</v>
      </c>
      <c r="J2" s="17" t="inlineStr">
        <is>
          <t>assessed</t>
        </is>
      </c>
      <c r="K2" s="17" t="inlineStr">
        <is>
          <t>Accepted</t>
        </is>
      </c>
      <c r="L2" s="17" t="inlineStr">
        <is>
          <t>Yes</t>
        </is>
      </c>
    </row>
    <row r="3" ht="15" customHeight="1" s="18">
      <c r="A3" s="17" t="inlineStr">
        <is>
          <t>Complete</t>
        </is>
      </c>
      <c r="B3" s="17" t="inlineStr">
        <is>
          <t>Class II</t>
        </is>
      </c>
      <c r="C3" s="17" t="inlineStr">
        <is>
          <t>MRL 2</t>
        </is>
      </c>
      <c r="D3" s="17" t="inlineStr">
        <is>
          <t>Medium</t>
        </is>
      </c>
      <c r="E3" s="17" t="inlineStr">
        <is>
          <t>NASA-STD-7009B</t>
        </is>
      </c>
      <c r="F3" s="17" t="inlineStr">
        <is>
          <t>Model</t>
        </is>
      </c>
      <c r="G3" s="17" t="inlineStr">
        <is>
          <t>No</t>
        </is>
      </c>
      <c r="H3" s="17" t="inlineStr">
        <is>
          <t>Fail</t>
        </is>
      </c>
      <c r="I3" s="17" t="n">
        <v>2</v>
      </c>
      <c r="J3" s="17" t="inlineStr">
        <is>
          <t>not-assessed</t>
        </is>
      </c>
      <c r="K3" s="17" t="inlineStr">
        <is>
          <t>Not accepted</t>
        </is>
      </c>
      <c r="L3" s="17" t="inlineStr">
        <is>
          <t>No</t>
        </is>
      </c>
    </row>
    <row r="4" ht="15" customHeight="1" s="18">
      <c r="B4" s="17" t="inlineStr">
        <is>
          <t>Class III</t>
        </is>
      </c>
      <c r="C4" s="17" t="inlineStr">
        <is>
          <t>MRL 3</t>
        </is>
      </c>
      <c r="D4" s="17" t="inlineStr">
        <is>
          <t>High</t>
        </is>
      </c>
      <c r="E4" s="17" t="inlineStr">
        <is>
          <t>FDA-2023-CMS</t>
        </is>
      </c>
      <c r="F4" s="17" t="inlineStr">
        <is>
          <t>Dataset</t>
        </is>
      </c>
      <c r="H4" s="17" t="inlineStr">
        <is>
          <t>Inconclusive</t>
        </is>
      </c>
      <c r="I4" s="17" t="n">
        <v>3</v>
      </c>
      <c r="J4" s="17" t="inlineStr">
        <is>
          <t>scoped-out</t>
        </is>
      </c>
      <c r="K4" s="17" t="inlineStr">
        <is>
          <t>Conditional</t>
        </is>
      </c>
    </row>
    <row r="5" ht="15" customHeight="1" s="18">
      <c r="B5" s="17" t="inlineStr">
        <is>
          <t>Category A</t>
        </is>
      </c>
      <c r="C5" s="17" t="inlineStr">
        <is>
          <t>MRL 4</t>
        </is>
      </c>
      <c r="E5" s="17" t="inlineStr">
        <is>
          <t>Custom</t>
        </is>
      </c>
      <c r="H5" s="17" t="inlineStr">
        <is>
          <t>N/A</t>
        </is>
      </c>
      <c r="I5" s="17" t="n">
        <v>4</v>
      </c>
      <c r="J5" s="17" t="inlineStr">
        <is>
          <t>not-applicable</t>
        </is>
      </c>
    </row>
    <row r="6" ht="15" customHeight="1" s="18">
      <c r="B6" s="17" t="inlineStr">
        <is>
          <t>Category B</t>
        </is>
      </c>
      <c r="C6" s="17" t="inlineStr">
        <is>
          <t>MRL 5</t>
        </is>
      </c>
      <c r="I6" s="17" t="n">
        <v>5</v>
      </c>
    </row>
    <row r="7" ht="15" customHeight="1" s="18">
      <c r="B7" s="17" t="inlineStr">
        <is>
          <t>Category C</t>
        </is>
      </c>
    </row>
    <row r="8" ht="15" customHeight="1" s="18">
      <c r="B8" s="17" t="inlineStr">
        <is>
          <t>Category D</t>
        </is>
      </c>
    </row>
    <row r="9" ht="15" customHeight="1" s="18">
      <c r="B9" s="17" t="inlineStr">
        <is>
          <t>Category E</t>
        </is>
      </c>
    </row>
    <row r="10" ht="15" customHeight="1" s="18">
      <c r="B10" s="17" t="inlineStr">
        <is>
          <t>Other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1"/>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7" min="1" max="1"/>
    <col width="35" customWidth="1" style="17" min="2" max="2"/>
    <col width="40" customWidth="1" style="17" min="3" max="3"/>
    <col width="45" customWidth="1" style="17" min="4" max="4"/>
    <col width="12" customWidth="1" style="17" min="5" max="5"/>
    <col width="20" customWidth="1" style="17" min="6" max="6"/>
  </cols>
  <sheetData>
    <row r="1" ht="30" customHeight="1" s="18">
      <c r="A1" s="19" t="inlineStr">
        <is>
          <t>Model &amp; Data — What you modeled and compared against</t>
        </is>
      </c>
    </row>
    <row r="2" ht="15" customHeight="1" s="18">
      <c r="A2" s="20" t="inlineStr">
        <is>
          <t>Entity Type</t>
        </is>
      </c>
      <c r="B2" s="20" t="inlineStr">
        <is>
          <t>Name</t>
        </is>
      </c>
      <c r="C2" s="20" t="inlineStr">
        <is>
          <t>Identifier / URI</t>
        </is>
      </c>
      <c r="D2" s="20" t="inlineStr">
        <is>
          <t>Description</t>
        </is>
      </c>
      <c r="E2" s="20" t="inlineStr">
        <is>
          <t>Version</t>
        </is>
      </c>
      <c r="F2" s="20" t="inlineStr">
        <is>
          <t>Source</t>
        </is>
      </c>
    </row>
    <row r="3" ht="32.8" customHeight="1" s="18">
      <c r="A3" s="39" t="inlineStr">
        <is>
          <t>Requirement</t>
        </is>
      </c>
      <c r="B3" s="39" t="inlineStr">
        <is>
          <t>Bracket Stress and Deflection Acceptability Requirement</t>
        </is>
      </c>
      <c r="C3" s="22" t="inlineStr">
        <is>
          <t>Stable URI or local ID</t>
        </is>
      </c>
      <c r="D3" s="39" t="inlineStr">
        <is>
          <t>Peak von Mises stress must remain below the 7075-T6 A-basis yield strength (503 MPa) at limit load, and tip deflection must be within allowable avionics connector misalignment limits; numerical uncertainty on reported peak stress must be small relative to material strength variability.</t>
        </is>
      </c>
      <c r="E3" s="22" t="inlineStr">
        <is>
          <t>Version number (optional)</t>
        </is>
      </c>
      <c r="F3" s="22" t="inlineStr">
        <is>
          <t>Where this came from (optional)</t>
        </is>
      </c>
    </row>
    <row r="4" ht="15" customHeight="1" s="18">
      <c r="A4" s="41" t="inlineStr">
        <is>
          <t>Model</t>
        </is>
      </c>
      <c r="B4" s="41" t="inlineStr">
        <is>
          <t>Ansys Mechanical 2024 R1 FEA Model — Avionics Bracket</t>
        </is>
      </c>
      <c r="C4" s="24" t="n"/>
      <c r="D4" s="41" t="inlineStr">
        <is>
          <t>Linear-elastic, quasi-static FEA model using 10-node quadratic tetrahedra (and a hex-dominant brick alternative) for the aluminum L-bracket, with pretensioned beam-element bolts, surface-to-surface contact, and remote-force load application at the avionics CG.</t>
        </is>
      </c>
      <c r="E4" s="33" t="n"/>
      <c r="F4" s="33" t="n"/>
    </row>
    <row r="5" ht="15" customHeight="1" s="18">
      <c r="A5" s="41" t="inlineStr">
        <is>
          <t>Dataset</t>
        </is>
      </c>
      <c r="B5" s="41" t="inlineStr">
        <is>
          <t>MMPDS-17 Material Properties — 7075-T6 Aluminum</t>
        </is>
      </c>
      <c r="C5" s="24" t="n"/>
      <c r="D5" s="41" t="inlineStr">
        <is>
          <t>A-basis room-temperature mechanical properties for 7075-T6 (AMS 4045): E = 71.7 GPa, ν = 0.33, Fty = 503 MPa, Ftu = 572 MPa, used as material input and strength allowable for margin assessment.</t>
        </is>
      </c>
      <c r="E5" s="33" t="n"/>
      <c r="F5" s="33" t="n"/>
    </row>
    <row r="6" ht="15" customHeight="1" s="18">
      <c r="A6" s="41" t="inlineStr">
        <is>
          <t>Dataset</t>
        </is>
      </c>
      <c r="B6" s="41" t="inlineStr">
        <is>
          <t>CAD Geometry — BRKT-ALT-ASSY-001_v7</t>
        </is>
      </c>
      <c r="C6" s="24" t="n"/>
      <c r="D6" s="41" t="inlineStr">
        <is>
          <t>Siemens NX export of bracket geometry (flange width 60 mm, thickness 6 mm, web height 120 mm, inner fillet radius 6 mm) used as the basis for FEA mesh generation, with suppression of minor features.</t>
        </is>
      </c>
      <c r="E6" s="33" t="n"/>
      <c r="F6" s="33" t="n"/>
    </row>
    <row r="7" ht="15" customHeight="1" s="18">
      <c r="A7" s="24" t="n"/>
      <c r="B7" s="24" t="n"/>
      <c r="C7" s="24" t="n"/>
      <c r="D7" s="33" t="n"/>
      <c r="E7" s="33" t="n"/>
      <c r="F7" s="33" t="n"/>
    </row>
    <row r="8" ht="15" customHeight="1" s="18">
      <c r="A8" s="24" t="n"/>
      <c r="B8" s="24" t="n"/>
      <c r="C8" s="24" t="n"/>
      <c r="D8" s="33" t="n"/>
      <c r="E8" s="33" t="n"/>
      <c r="F8" s="33" t="n"/>
    </row>
    <row r="9" ht="15" customHeight="1" s="18">
      <c r="A9" s="24" t="n"/>
      <c r="B9" s="24" t="n"/>
      <c r="C9" s="24" t="n"/>
      <c r="D9" s="33" t="n"/>
      <c r="E9" s="33" t="n"/>
      <c r="F9" s="33" t="n"/>
    </row>
    <row r="10" ht="15" customHeight="1" s="18">
      <c r="A10" s="24" t="n"/>
      <c r="B10" s="24" t="n"/>
      <c r="C10" s="24" t="n"/>
      <c r="D10" s="33" t="n"/>
      <c r="E10" s="33" t="n"/>
      <c r="F10" s="33" t="n"/>
    </row>
    <row r="11" ht="15" customHeight="1" s="18">
      <c r="A11" s="24" t="n"/>
      <c r="B11" s="24" t="n"/>
      <c r="C11" s="24" t="n"/>
      <c r="D11" s="33" t="n"/>
      <c r="E11" s="33" t="n"/>
      <c r="F11" s="33" t="n"/>
    </row>
    <row r="12" ht="15" customHeight="1" s="18">
      <c r="A12" s="24" t="n"/>
      <c r="B12" s="24" t="n"/>
      <c r="C12" s="24" t="n"/>
      <c r="D12" s="33" t="n"/>
      <c r="E12" s="33" t="n"/>
      <c r="F12" s="33" t="n"/>
    </row>
    <row r="13" ht="15" customHeight="1" s="18">
      <c r="A13" s="24" t="n"/>
      <c r="B13" s="24" t="n"/>
      <c r="C13" s="24" t="n"/>
      <c r="D13" s="33" t="n"/>
      <c r="E13" s="33" t="n"/>
      <c r="F13" s="33" t="n"/>
    </row>
  </sheetData>
  <mergeCells count="1">
    <mergeCell ref="A1:F1"/>
  </mergeCells>
  <dataValidations count="1">
    <dataValidation sqref="A4:A13" showDropDown="0" showInputMessage="0" showErrorMessage="0" allowBlank="1" type="list" errorStyle="stop" operator="between">
      <formula1>list_entity_type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5.xml><?xml version="1.0" encoding="utf-8"?>
<worksheet xmlns="http://schemas.openxmlformats.org/spreadsheetml/2006/main">
  <sheetPr filterMode="0">
    <outlinePr summaryBelow="1" summaryRight="1"/>
    <pageSetUpPr fitToPage="1"/>
  </sheetPr>
  <dimension ref="A1:I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5" customWidth="1" style="17" min="1" max="1"/>
    <col width="35" customWidth="1" style="17" min="2" max="2"/>
    <col width="45" customWidth="1" style="17" min="3" max="3"/>
    <col width="35" customWidth="1" style="17" min="4" max="4"/>
    <col width="10" customWidth="1" style="17" min="5" max="5"/>
    <col width="30" customWidth="1" style="17" min="6" max="6"/>
    <col width="18" customWidth="1" style="17" min="7" max="7"/>
    <col width="14" customWidth="1" style="17" min="8" max="8"/>
  </cols>
  <sheetData>
    <row r="1" ht="30" customHeight="1" s="18">
      <c r="A1" s="19" t="inlineStr">
        <is>
          <t>Validation Results — What you found when you tested the model</t>
        </is>
      </c>
    </row>
    <row r="2" ht="15" customHeight="1" s="18">
      <c r="A2" s="20" t="inlineStr">
        <is>
          <t>Result Name</t>
        </is>
      </c>
      <c r="B2" s="20" t="inlineStr">
        <is>
          <t>Identifier / URI</t>
        </is>
      </c>
      <c r="C2" s="20" t="inlineStr">
        <is>
          <t>Description</t>
        </is>
      </c>
      <c r="D2" s="20" t="inlineStr">
        <is>
          <t>Compares To</t>
        </is>
      </c>
      <c r="E2" s="20" t="inlineStr">
        <is>
          <t>Has UQ?</t>
        </is>
      </c>
      <c r="F2" s="20" t="inlineStr">
        <is>
          <t>UQ Method</t>
        </is>
      </c>
      <c r="G2" s="20" t="inlineStr">
        <is>
          <t>Metric Value</t>
        </is>
      </c>
      <c r="H2" s="20" t="inlineStr">
        <is>
          <t>Pass / Fail</t>
        </is>
      </c>
    </row>
    <row r="3" ht="32.8" customHeight="1" s="18">
      <c r="A3" s="39" t="inlineStr">
        <is>
          <t>Mesh Refinement Convergence Study</t>
        </is>
      </c>
      <c r="B3" s="39" t="inlineStr">
        <is>
          <t>ValidationResult</t>
        </is>
      </c>
      <c r="C3" s="22" t="inlineStr">
        <is>
          <t>What was done, what was found</t>
        </is>
      </c>
      <c r="D3" s="39" t="inlineStr">
        <is>
          <t>Three systematically refined meshes (coarse 0.28 M, medium 0.51 M, fine 0.92 M solid elements) were analyzed. Peak von Mises stress at the web–flange fillet and tip deflection at the avionics CG were extracted for each mesh level.</t>
        </is>
      </c>
      <c r="E3" s="39" t="inlineStr">
        <is>
          <t>Richardson-extrapolated asymptotic solution (~377 MPa stress)</t>
        </is>
      </c>
      <c r="F3" s="39" t="inlineStr">
        <is>
          <t>Yes</t>
        </is>
      </c>
      <c r="G3" s="39" t="inlineStr">
        <is>
          <t>Richardson-style extrapolation based on medium-to-fine trend</t>
        </is>
      </c>
      <c r="H3" s="39" t="inlineStr">
        <is>
          <t>~1.9% relative difference between fine mesh and asymptotic stress; &lt;1% for deflection</t>
        </is>
      </c>
      <c r="I3" s="42" t="inlineStr">
        <is>
          <t>Pass</t>
        </is>
      </c>
    </row>
    <row r="4" ht="15" customHeight="1" s="18">
      <c r="A4" s="41" t="inlineStr">
        <is>
          <t>Alternative Element Formulation Check (Hex vs Tet)</t>
        </is>
      </c>
      <c r="B4" s="41" t="inlineStr">
        <is>
          <t>ValidationResult</t>
        </is>
      </c>
      <c r="C4" s="33" t="n"/>
      <c r="D4" s="41" t="inlineStr">
        <is>
          <t>A hex-dominant mesh using 20-node brick elements (SOLID186) was constructed in the fillet block and compared to the fine quadratic-tet model to confirm the hot-spot result is not element-type dependent.</t>
        </is>
      </c>
      <c r="E4" s="41" t="inlineStr">
        <is>
          <t>Fine quadratic-tet mesh result (370 MPa, 0.63 mm)</t>
        </is>
      </c>
      <c r="F4" s="41" t="inlineStr">
        <is>
          <t>No</t>
        </is>
      </c>
      <c r="G4" s="33" t="n"/>
      <c r="H4" s="41" t="inlineStr">
        <is>
          <t>2.4% stress difference (361 vs 370 MPa); 3.2% deflection difference (0.65 vs 0.63 mm)</t>
        </is>
      </c>
      <c r="I4" s="42" t="inlineStr">
        <is>
          <t>Pass</t>
        </is>
      </c>
    </row>
    <row r="5" ht="15" customHeight="1" s="18">
      <c r="A5" s="41" t="inlineStr">
        <is>
          <t>Analytical Bench Check — Cantilever Bending</t>
        </is>
      </c>
      <c r="B5" s="41" t="inlineStr">
        <is>
          <t>ValidationResult</t>
        </is>
      </c>
      <c r="C5" s="33" t="n"/>
      <c r="D5" s="41" t="inlineStr">
        <is>
          <t>Closed-form cantilever bending stress (σ = Mc/I) and deflection (δ = FL³/3EI) were computed for a simplified rectangular bracket cross-section and compared to the FEA results to verify order-of-magnitude correctness.</t>
        </is>
      </c>
      <c r="E5" s="41" t="inlineStr">
        <is>
          <t>Hand-calculation: σ ≈ 317–318 MPa nominal bending stress; δ ≈ 0.61 mm tip deflection</t>
        </is>
      </c>
      <c r="F5" s="41" t="inlineStr">
        <is>
          <t>No</t>
        </is>
      </c>
      <c r="G5" s="33" t="n"/>
      <c r="H5" s="41" t="inlineStr">
        <is>
          <t>FEA stress 370 MPa vs 318 MPa hand calc (~17% elevation, rationalized by 3D stress concentration Kt &gt; 1.1); FEA deflection 0.63 mm vs 0.61 mm (&lt;4% difference)</t>
        </is>
      </c>
      <c r="I5" s="42" t="inlineStr">
        <is>
          <t>Pass</t>
        </is>
      </c>
    </row>
    <row r="6" ht="15" customHeight="1" s="18">
      <c r="A6" s="41" t="inlineStr">
        <is>
          <t>Contact and Friction Sensitivity Study</t>
        </is>
      </c>
      <c r="B6" s="41" t="inlineStr">
        <is>
          <t>ValidationResult</t>
        </is>
      </c>
      <c r="C6" s="33" t="n"/>
      <c r="D6" s="41" t="inlineStr">
        <is>
          <t>Contact normal stiffness factor was varied ×0.5 and ×3 from default; friction coefficient varied between 0.15 and 0.3. Peak stress and contact slip were recorded for each perturbation. A zero-pretension run was also performed as a conservative bound.</t>
        </is>
      </c>
      <c r="E6" s="41" t="inlineStr">
        <is>
          <t>Baseline fine-mesh result (370 MPa, µ = 0.2, pretension 8 kN)</t>
        </is>
      </c>
      <c r="F6" s="41" t="inlineStr">
        <is>
          <t>No</t>
        </is>
      </c>
      <c r="G6" s="33" t="n"/>
      <c r="H6" s="41" t="inlineStr">
        <is>
          <t>Peak stress sensitivity ≤ 1.8% to contact stiffness; ≤ 1.6% to friction; 8% stress increase with pretension removed</t>
        </is>
      </c>
      <c r="I6" s="42" t="inlineStr">
        <is>
          <t>Pass</t>
        </is>
      </c>
    </row>
    <row r="7" ht="15" customHeight="1" s="18">
      <c r="A7" s="41" t="inlineStr">
        <is>
          <t>Solver Convergence and Numerical Health Check</t>
        </is>
      </c>
      <c r="B7" s="41" t="inlineStr">
        <is>
          <t>ValidationResult</t>
        </is>
      </c>
      <c r="C7" s="33" t="n"/>
      <c r="D7" s="41" t="inlineStr">
        <is>
          <t>Equilibrium iteration counts, final force residual norms, energy balance, and contact penetration were monitored across all three mesh levels to confirm numerical solution quality.</t>
        </is>
      </c>
      <c r="E7" s="41" t="inlineStr">
        <is>
          <t>Solver convergence tolerance of 1e-6 of reference norm; contact penetration target &lt;1% local element size</t>
        </is>
      </c>
      <c r="F7" s="41" t="inlineStr">
        <is>
          <t>No</t>
        </is>
      </c>
      <c r="G7" s="33" t="n"/>
      <c r="H7" s="41" t="inlineStr">
        <is>
          <t>Final force norm 4.9e-7 (fine mesh); energy balance within 0.2%; contact penetration &lt;5 µm; no negative pivots or singularities</t>
        </is>
      </c>
      <c r="I7" s="42" t="inlineStr">
        <is>
          <t>Pass</t>
        </is>
      </c>
    </row>
    <row r="8" ht="15" customHeight="1" s="18">
      <c r="A8" s="24" t="n"/>
      <c r="B8" s="24" t="n"/>
      <c r="C8" s="33" t="n"/>
      <c r="D8" s="33" t="n"/>
      <c r="E8" s="25" t="n"/>
      <c r="F8" s="33" t="n"/>
      <c r="G8" s="33" t="n"/>
      <c r="H8" s="33" t="n"/>
    </row>
    <row r="9" ht="15" customHeight="1" s="18">
      <c r="A9" s="24" t="n"/>
      <c r="B9" s="24" t="n"/>
      <c r="C9" s="33" t="n"/>
      <c r="D9" s="33" t="n"/>
      <c r="E9" s="25" t="n"/>
      <c r="F9" s="33" t="n"/>
      <c r="G9" s="33" t="n"/>
      <c r="H9" s="33" t="n"/>
    </row>
    <row r="10" ht="15" customHeight="1" s="18">
      <c r="A10" s="24" t="n"/>
      <c r="B10" s="24" t="n"/>
      <c r="C10" s="33" t="n"/>
      <c r="D10" s="33" t="n"/>
      <c r="E10" s="25" t="n"/>
      <c r="F10" s="33" t="n"/>
      <c r="G10" s="33" t="n"/>
      <c r="H10" s="33" t="n"/>
    </row>
    <row r="11" ht="15" customHeight="1" s="18">
      <c r="A11" s="24" t="n"/>
      <c r="B11" s="24" t="n"/>
      <c r="C11" s="33" t="n"/>
      <c r="D11" s="33" t="n"/>
      <c r="E11" s="25" t="n"/>
      <c r="F11" s="33" t="n"/>
      <c r="G11" s="33" t="n"/>
      <c r="H11" s="33" t="n"/>
    </row>
    <row r="12" ht="15" customHeight="1" s="18">
      <c r="A12" s="24" t="n"/>
      <c r="B12" s="24" t="n"/>
      <c r="C12" s="33" t="n"/>
      <c r="D12" s="33" t="n"/>
      <c r="E12" s="25" t="n"/>
      <c r="F12" s="33" t="n"/>
      <c r="G12" s="33" t="n"/>
      <c r="H12" s="33" t="n"/>
    </row>
    <row r="13" ht="15" customHeight="1" s="18">
      <c r="A13" s="24" t="n"/>
      <c r="B13" s="24" t="n"/>
      <c r="C13" s="33" t="n"/>
      <c r="D13" s="33" t="n"/>
      <c r="E13" s="25" t="n"/>
      <c r="F13" s="33" t="n"/>
      <c r="G13" s="33" t="n"/>
      <c r="H13" s="33" t="n"/>
    </row>
  </sheetData>
  <mergeCells count="1">
    <mergeCell ref="A1:H1"/>
  </mergeCells>
  <dataValidations count="2">
    <dataValidation sqref="E4:E13" showDropDown="0" showInputMessage="0" showErrorMessage="0" allowBlank="1" type="list" errorStyle="stop" operator="between">
      <formula1>list_has_uq</formula1>
      <formula2>0</formula2>
    </dataValidation>
    <dataValidation sqref="H4:H13" showDropDown="0" showInputMessage="0" showErrorMessage="0" allowBlank="1" type="list" errorStyle="stop" operator="between">
      <formula1>list_pass_fail</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1"/>
  </sheetPr>
  <dimension ref="A1:H17"/>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2" customWidth="1" style="17" min="1" max="1"/>
    <col width="25" customWidth="1" style="17" min="2" max="2"/>
    <col width="16" customWidth="1" style="17" min="3" max="4"/>
    <col width="40" customWidth="1" style="17" min="5" max="5"/>
    <col width="12" customWidth="1" style="17" min="6" max="6"/>
    <col width="22" customWidth="1" style="18" min="8" max="8"/>
  </cols>
  <sheetData>
    <row r="1" ht="30" customHeight="1" s="18">
      <c r="A1" s="19" t="inlineStr">
        <is>
          <t>Credibility Factors — V&amp;V 40 Table 5-1 Assessment</t>
        </is>
      </c>
    </row>
    <row r="2" ht="30" customHeight="1" s="18">
      <c r="A2" s="34" t="inlineStr">
        <is>
          <t>Complete profile only. Assess each relevant factor: set Required Level (goal given model risk) and Achieved Level (what evidence supports).</t>
        </is>
      </c>
    </row>
    <row r="3" ht="15" customHeight="1" s="18">
      <c r="A3" s="20" t="inlineStr">
        <is>
          <t>Factor Type</t>
        </is>
      </c>
      <c r="B3" s="20" t="inlineStr">
        <is>
          <t>Category</t>
        </is>
      </c>
      <c r="C3" s="20" t="inlineStr">
        <is>
          <t>Required Level</t>
        </is>
      </c>
      <c r="D3" s="20" t="inlineStr">
        <is>
          <t>Achieved Level</t>
        </is>
      </c>
      <c r="E3" s="21" t="inlineStr">
        <is>
          <t>Acceptance Criteria</t>
        </is>
      </c>
      <c r="F3" s="20" t="inlineStr">
        <is>
          <t>Rationale</t>
        </is>
      </c>
      <c r="G3" s="20" t="inlineStr">
        <is>
          <t>Factor Status</t>
        </is>
      </c>
      <c r="H3" s="37" t="inlineStr">
        <is>
          <t>Linked Evidence</t>
        </is>
      </c>
    </row>
    <row r="4" ht="22.35" customHeight="1" s="18">
      <c r="A4" s="22" t="inlineStr">
        <is>
          <t>V&amp;V 40 factor (pre-filled, do not edit)</t>
        </is>
      </c>
      <c r="B4" s="22" t="inlineStr">
        <is>
          <t>Grouping (pre-filled)</t>
        </is>
      </c>
      <c r="C4" s="22" t="inlineStr">
        <is>
          <t>Credibility goal for this factor (1-5)</t>
        </is>
      </c>
      <c r="D4" s="22" t="inlineStr">
        <is>
          <t>Level achieved by evidence (1-5)</t>
        </is>
      </c>
      <c r="E4" s="23" t="inlineStr">
        <is>
          <t>Goal and basis for the required level (from V&amp;V 40 Tables 3-4)</t>
        </is>
      </c>
      <c r="F4" s="22" t="inlineStr">
        <is>
          <t>Brief justification (esp. if achieved &lt; required)</t>
        </is>
      </c>
      <c r="G4" s="22" t="inlineStr">
        <is>
          <t>assessed / not-assessed / scoped-out / not-applicable</t>
        </is>
      </c>
      <c r="H4" s="38" t="inlineStr">
        <is>
          <t>URI of validation result that supports this factor (optional)</t>
        </is>
      </c>
    </row>
    <row r="5" ht="15" customHeight="1" s="18">
      <c r="A5" s="35" t="inlineStr">
        <is>
          <t>Software quality assurance</t>
        </is>
      </c>
      <c r="B5" s="36" t="inlineStr">
        <is>
          <t>Verification — Code</t>
        </is>
      </c>
      <c r="C5" s="41" t="n">
        <v>3</v>
      </c>
      <c r="D5" s="41" t="n">
        <v>3</v>
      </c>
      <c r="E5" s="42" t="inlineStr">
        <is>
          <t>Commercial solver with documented build version used; no unresolved numerical warnings</t>
        </is>
      </c>
      <c r="F5" s="41" t="inlineStr">
        <is>
          <t>Ansys Mechanical 2024 R1 (build 24.0.3) double precision is cited as the analysis tool. The report identifies a specific build number and run environment (RHEL 8.8). No warnings other than standard contact stiffness messages at substep 1 were reported. Ansys is a well-established commercial code with vendor-maintained SQA processes, though no explicit reference to Ansys's internal QA certification documents, regression test suite, or ISO 9001 records is provided in the evidence corpus.</t>
        </is>
      </c>
      <c r="G5" s="41" t="inlineStr">
        <is>
          <t>assessed</t>
        </is>
      </c>
    </row>
    <row r="6" ht="15" customHeight="1" s="18">
      <c r="A6" s="36" t="inlineStr">
        <is>
          <t>Numerical code verification</t>
        </is>
      </c>
      <c r="B6" s="36" t="inlineStr">
        <is>
          <t>Verification — Code</t>
        </is>
      </c>
      <c r="C6" s="41" t="n">
        <v>2</v>
      </c>
      <c r="D6" s="41" t="n">
        <v>2</v>
      </c>
      <c r="E6" s="42" t="inlineStr">
        <is>
          <t>Code behavior consistent with analytical solutions for canonical problems</t>
        </is>
      </c>
      <c r="F6" s="41" t="inlineStr">
        <is>
          <t>No formal code verification (method of manufactured solutions, benchmark problems against published solutions) is documented in these files. The bench checks in Sections 10 and Appendix B compare FEA output to closed-form cantilever formulae, which provides indirect evidence that the code produces physically consistent results for simple loading, but this does not constitute rigorous code verification. Achieved level is basic.</t>
        </is>
      </c>
      <c r="G6" s="41" t="inlineStr">
        <is>
          <t>assessed</t>
        </is>
      </c>
    </row>
    <row r="7" ht="15" customHeight="1" s="18">
      <c r="A7" s="35" t="inlineStr">
        <is>
          <t>Discretization error</t>
        </is>
      </c>
      <c r="B7" s="36" t="inlineStr">
        <is>
          <t>Verification — Calculation</t>
        </is>
      </c>
      <c r="C7" s="41" t="n">
        <v>3</v>
      </c>
      <c r="D7" s="41" t="n">
        <v>4</v>
      </c>
      <c r="E7" s="42" t="inlineStr">
        <is>
          <t>Demonstrated mesh convergence with quantified remaining discretization error on the governing QoI</t>
        </is>
      </c>
      <c r="F7" s="41" t="inlineStr">
        <is>
          <t>Three systematically refined meshes (coarse, medium, fine) were constructed with controlled local sizing in the critical fillet region. Richardson-style extrapolation was applied, yielding an estimated asymptotic stress of ~377 MPa and a relative error of ~1.9% for the fine mesh. Deflection convergence is below 1%. Appendix A documents element counts, edge sizes, aspect ratios (&lt;2.0), and warpage (&lt;5°) for all mesh levels. A complementary hex-brick discretization produced results within 2.4% (stress) and 3.2% (deflection), corroborating convergence. Nodal averaging was disabled at the hot spot to avoid artificial smoothing.</t>
        </is>
      </c>
      <c r="G7" s="41" t="inlineStr">
        <is>
          <t>assessed</t>
        </is>
      </c>
    </row>
    <row r="8" ht="15" customHeight="1" s="18">
      <c r="A8" s="36" t="inlineStr">
        <is>
          <t>Numerical solver error</t>
        </is>
      </c>
      <c r="B8" s="36" t="inlineStr">
        <is>
          <t>Verification — Calculation</t>
        </is>
      </c>
      <c r="C8" s="41" t="n">
        <v>2</v>
      </c>
      <c r="D8" s="41" t="n">
        <v>4</v>
      </c>
      <c r="E8" s="42" t="inlineStr">
        <is>
          <t>Force residuals within specified tolerance; no divergence indicators</t>
        </is>
      </c>
      <c r="F8" s="41" t="inlineStr">
        <is>
          <t>Appendix D and Section 9 document final force residual norms of 3.1e-7 to 4.9e-7 (well below the 1e-6 tolerance), 6–8 equilibrium iterations per substep, no negative pivot warnings, no hourglassing, energy balance within 0.2%, and reaction force balance within 0.1% of applied load. Contact penetration was below 5 µm on the fine mesh. These are thorough and quantified solver health indicators.</t>
        </is>
      </c>
      <c r="G8" s="41" t="inlineStr">
        <is>
          <t>assessed</t>
        </is>
      </c>
    </row>
    <row r="9" ht="15" customHeight="1" s="18">
      <c r="A9" s="36" t="inlineStr">
        <is>
          <t>Use error</t>
        </is>
      </c>
      <c r="B9" s="36" t="inlineStr">
        <is>
          <t>Verification — Calculation</t>
        </is>
      </c>
      <c r="C9" s="41" t="n">
        <v>3</v>
      </c>
      <c r="D9" s="41" t="n">
        <v>3</v>
      </c>
      <c r="E9" s="42" t="inlineStr">
        <is>
          <t>Independent review of model setup, boundary conditions, and post-processing; documented action items addressed</t>
        </is>
      </c>
      <c r="F9" s="41" t="inlineStr">
        <is>
          <t>A two-person internal peer review (D. Rao and A. Nguyen) was conducted per Section 13. Reviewers checked fillet mesh density adequacy, linear-elastic material justification, and pretension value selection. Action items were tracked and resolved: fillet mesh density increased by 20%, pretension confirmed at ~75% of proof load. Appendix E lists formal reviewer checkpoints (element count in fillet, stress extraction location, peak isolation), all marked as achieved. The review was internal rather than independent third-party, limiting the achieved level to 3.</t>
        </is>
      </c>
      <c r="G9" s="41" t="inlineStr">
        <is>
          <t>assessed</t>
        </is>
      </c>
    </row>
    <row r="10" ht="15" customHeight="1" s="18">
      <c r="A10" s="35" t="inlineStr">
        <is>
          <t>Model form</t>
        </is>
      </c>
      <c r="B10" s="36" t="inlineStr">
        <is>
          <t>Validation — Model</t>
        </is>
      </c>
      <c r="C10" s="41" t="n">
        <v>3</v>
      </c>
      <c r="D10" s="41" t="n">
        <v>3</v>
      </c>
      <c r="E10" s="42" t="inlineStr">
        <is>
          <t>Governing physics and constitutive model selection justified relative to the design event; known limitations documented</t>
        </is>
      </c>
      <c r="F10" s="41" t="inlineStr">
        <is>
          <t>Section 3 justifies linear-elastic, small-strain behavior for 7075-T6 under limit load, noting plasticity would only be relevant near or above yield. Section 2 documents geometry idealization decisions with rationale (suppression of thread details and sub-millimeter chamfers; retention of the controlling fillet). Section 4 documents the quasi-static loading assumption and rib-rigidity idealization with reference to a supporting note (RIB-STIF-Note-03). Section 15 explicitly lists model form limitations (no thermal coupling, no dynamics, no spectrum loading, no thread/bearing stress). The model form is well-justified for the stated COU but limitations are noted and the approach has not been validated against physical test data.</t>
        </is>
      </c>
      <c r="G10" s="41" t="inlineStr">
        <is>
          <t>assessed</t>
        </is>
      </c>
    </row>
    <row r="11" ht="15" customHeight="1" s="18">
      <c r="A11" s="36" t="inlineStr">
        <is>
          <t>Model inputs</t>
        </is>
      </c>
      <c r="B11" s="36" t="inlineStr">
        <is>
          <t>Validation — Model</t>
        </is>
      </c>
      <c r="C11" s="41" t="n">
        <v>3</v>
      </c>
      <c r="D11" s="41" t="n">
        <v>3</v>
      </c>
      <c r="E11" s="42" t="inlineStr">
        <is>
          <t>Material properties from recognized sources; geometry from controlled CAD; loads derived from documented design event</t>
        </is>
      </c>
      <c r="F11" s="41" t="inlineStr">
        <is>
          <t>Material properties (E, ν, ρ, Fty, Ftu) are taken from MMPDS-17 A-basis data for 7075-T6 AMS 4045, a recognized aerospace material database. Geometry is sourced from a versioned CAD file (BRKT-ALT-ASSY-001_v7.prt, Siemens NX). Loads are derived from a specified design event (6.5 kg × 9.81 × 15 g = 956 N). Bolt pretension (8 kN) is justified by torque recommendations for M6 class 10.9 at 75% proof. Friction coefficient (µ = 0.2) is a standard assumption without measured validation. No formal input uncertainty quantification (probability distributions, sensitivity to material variability) is provided; sensitivity runs address contact parameters but not material property uncertainty.</t>
        </is>
      </c>
      <c r="G11" s="41" t="inlineStr">
        <is>
          <t>assessed</t>
        </is>
      </c>
    </row>
    <row r="12" ht="15" customHeight="1" s="18">
      <c r="A12" s="35" t="inlineStr">
        <is>
          <t>Test samples</t>
        </is>
      </c>
      <c r="B12" s="36" t="inlineStr">
        <is>
          <t>Validation — Comparator</t>
        </is>
      </c>
      <c r="C12" s="41" t="n">
        <v>1</v>
      </c>
      <c r="D12" s="41" t="n">
        <v>1</v>
      </c>
      <c r="E12" s="42" t="inlineStr">
        <is>
          <t>N/A — no physical test specimens used in this assessment</t>
        </is>
      </c>
      <c r="F12" s="41" t="inlineStr">
        <is>
          <t>No physical test specimens or experimental test articles are referenced in this assessment. The credibility evidence relies entirely on computational verification activities (mesh refinement, sensitivity studies, analytical bench checks) and internal peer review. There are no coupon tests, component tests, or full-scale tests against which the FEA is compared. This factor is not addressable from the available evidence.</t>
        </is>
      </c>
      <c r="G12" s="41" t="inlineStr">
        <is>
          <t>not-assessed</t>
        </is>
      </c>
    </row>
    <row r="13" ht="15" customHeight="1" s="18">
      <c r="A13" s="36" t="inlineStr">
        <is>
          <t>Test conditions</t>
        </is>
      </c>
      <c r="B13" s="36" t="inlineStr">
        <is>
          <t>Validation — Comparator</t>
        </is>
      </c>
      <c r="C13" s="41" t="n">
        <v>1</v>
      </c>
      <c r="D13" s="41" t="n">
        <v>1</v>
      </c>
      <c r="E13" s="42" t="inlineStr">
        <is>
          <t>N/A — no physical testing conducted</t>
        </is>
      </c>
      <c r="F13" s="41" t="inlineStr">
        <is>
          <t>No experimental test conditions are documented in this assessment. All comparisons are to analytical closed-form solutions or alternative computational configurations. No calibrated instruments, controlled test environments, or test standards (ASTM, ISO) are referenced. This factor is not addressable from the available evidence.</t>
        </is>
      </c>
      <c r="G13" s="41" t="inlineStr">
        <is>
          <t>not-assessed</t>
        </is>
      </c>
    </row>
    <row r="14" ht="15" customHeight="1" s="18">
      <c r="A14" s="35" t="inlineStr">
        <is>
          <t>Equivalency of input parameters</t>
        </is>
      </c>
      <c r="B14" s="36" t="inlineStr">
        <is>
          <t>Validation — Assessment</t>
        </is>
      </c>
      <c r="C14" s="41" t="n">
        <v>1</v>
      </c>
      <c r="D14" s="41" t="n">
        <v>1</v>
      </c>
      <c r="E14" s="42" t="inlineStr">
        <is>
          <t>N/A — no experimental comparator exists in this assessment</t>
        </is>
      </c>
      <c r="F14" s="41" t="inlineStr">
        <is>
          <t>Because no physical testing was performed, there is no experimental dataset against which to verify equivalency of model input parameters. The bench-check analytical comparison uses the same nominal dimensions and load values as the FEA, so the inputs are by construction identical, but this does not constitute the equivalency evidence intended by this factor in a validation context. This factor is not addressable from the available evidence.</t>
        </is>
      </c>
      <c r="G14" s="41" t="inlineStr">
        <is>
          <t>not-assessed</t>
        </is>
      </c>
    </row>
    <row r="15" ht="15" customHeight="1" s="18">
      <c r="A15" s="36" t="inlineStr">
        <is>
          <t>Output comparison</t>
        </is>
      </c>
      <c r="B15" s="36" t="inlineStr">
        <is>
          <t>Validation — Assessment</t>
        </is>
      </c>
      <c r="C15" s="41" t="n">
        <v>2</v>
      </c>
      <c r="D15" s="41" t="n">
        <v>2</v>
      </c>
      <c r="E15" s="42" t="inlineStr">
        <is>
          <t>Quantitative comparison of FEA outputs to independent reference values demonstrating reasonable agreement</t>
        </is>
      </c>
      <c r="F15" s="41" t="inlineStr">
        <is>
          <t>Quantitative output comparisons are made to two references: (1) closed-form cantilever beam formulae (stress 370 vs 318 MPa nominal, ~17% elevation rationalized by 3D Kt; deflection 0.63 vs 0.61 mm, &lt;4% difference), and (2) an alternative hex-brick FEA discretization (2.4% stress difference, 3.2% deflection difference). These are analytical and computational comparators rather than experimental data. Fastener shear distribution from FEA (24–29% spread) is compared to a rigid-base approximation (27% more for outer bolts), showing consistency. No experimental validation data exist. The comparisons are meaningful but limited to analytical and computational benchmarks.</t>
        </is>
      </c>
      <c r="G15" s="41" t="inlineStr">
        <is>
          <t>assessed</t>
        </is>
      </c>
    </row>
    <row r="16" ht="15" customHeight="1" s="18">
      <c r="A16" s="35" t="inlineStr">
        <is>
          <t>Relevance of the quantities of interest</t>
        </is>
      </c>
      <c r="B16" s="36" t="inlineStr">
        <is>
          <t>Applicability</t>
        </is>
      </c>
      <c r="C16" s="41" t="n">
        <v>3</v>
      </c>
      <c r="D16" s="41" t="n">
        <v>3</v>
      </c>
      <c r="E16" s="42" t="inlineStr">
        <is>
          <t>QoIs (peak stress and tip deflection) directly address the structural safety and functional performance concern for the design event</t>
        </is>
      </c>
      <c r="F16" s="41" t="inlineStr">
        <is>
          <t>The two primary QoIs — peak von Mises stress at the web–flange fillet and tip deflection at the avionics CG — directly address first-yield structural integrity and avionics connector misalignment risk, which are the stated design concerns for the preliminary release decision. Peak stress is compared to the A-basis yield allowable; deflection is assessed against connector misalignment limits. Both QoIs are extractable from the FEA and, in principle, measurable in physical testing. The QoIs are well-matched to the stated COU.</t>
        </is>
      </c>
      <c r="G16" s="41" t="inlineStr">
        <is>
          <t>assessed</t>
        </is>
      </c>
    </row>
    <row r="17" ht="15" customHeight="1" s="18">
      <c r="A17" s="36" t="inlineStr">
        <is>
          <t>Relevance of the validation activities to the COU</t>
        </is>
      </c>
      <c r="B17" s="36" t="inlineStr">
        <is>
          <t>Applicability</t>
        </is>
      </c>
      <c r="C17" s="41" t="n">
        <v>2</v>
      </c>
      <c r="D17" s="41" t="n">
        <v>2</v>
      </c>
      <c r="E17" s="42" t="inlineStr">
        <is>
          <t>Validation activities address the same geometry, physics regime, and loading conditions as the COU; gaps are documented</t>
        </is>
      </c>
      <c r="F17" s="41" t="inlineStr">
        <is>
          <t>All verification and validation activities (mesh refinement, element-type comparison, sensitivity studies, analytical bench checks) use the actual bracket geometry and the exact specified load case (956 N, 15 g, room temperature, quasi-static). There is therefore strong relevance of the computational verification activities to the COU. However, no physical testing was conducted under representative conditions, so the model has not been validated against experimental data at any condition, let alone the specific COU conditions. Section 15 explicitly documents the gaps: no thermal, dynamic, or spectrum loading coverage; no rib-compliance coupling; no fastener bearing stress resolution. The validation envelope is purely analytical/computational, which limits the achieved level despite the well-matched scope.</t>
        </is>
      </c>
      <c r="G17" s="41" t="inlineStr">
        <is>
          <t>assessed</t>
        </is>
      </c>
    </row>
  </sheetData>
  <mergeCells count="2">
    <mergeCell ref="A2:F2"/>
    <mergeCell ref="A1:F1"/>
  </mergeCells>
  <dataValidations count="2">
    <dataValidation sqref="C5:D17" showDropDown="0" showInputMessage="0" showErrorMessage="0" allowBlank="1" type="list" errorStyle="stop" operator="between">
      <formula1>list_factor_level</formula1>
      <formula2>0</formula2>
    </dataValidation>
    <dataValidation sqref="F5:F17" showDropDown="0" showInputMessage="0" showErrorMessage="0" allowBlank="1" type="list" errorStyle="stop" operator="between">
      <formula1>list_assessed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1"/>
  </sheetPr>
  <dimension ref="A1:E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17" min="1" max="1"/>
    <col width="60" customWidth="1" style="17" min="2" max="2"/>
    <col width="22" customWidth="1" style="17" min="3" max="3"/>
    <col width="25" customWidth="1" style="17" min="4" max="4"/>
    <col width="16" customWidth="1" style="17" min="5" max="5"/>
  </cols>
  <sheetData>
    <row r="1" ht="30" customHeight="1" s="18">
      <c r="A1" s="19" t="inlineStr">
        <is>
          <t>Decision — The credibility judgment</t>
        </is>
      </c>
    </row>
    <row r="2" ht="15" customHeight="1" s="18">
      <c r="A2" s="20" t="inlineStr">
        <is>
          <t>Decision Outcome</t>
        </is>
      </c>
      <c r="B2" s="20" t="inlineStr">
        <is>
          <t>Decision Rationale</t>
        </is>
      </c>
      <c r="C2" s="20" t="inlineStr">
        <is>
          <t>Criteria Set</t>
        </is>
      </c>
      <c r="D2" s="20" t="inlineStr">
        <is>
          <t>Decided By</t>
        </is>
      </c>
      <c r="E2" s="20" t="inlineStr">
        <is>
          <t>Decision Date</t>
        </is>
      </c>
    </row>
    <row r="3" ht="22.35" customHeight="1" s="18">
      <c r="A3" s="39" t="inlineStr">
        <is>
          <t>Accepted</t>
        </is>
      </c>
      <c r="B3" s="39" t="inlineStr">
        <is>
          <t>The FEA model of the eVTOL avionics L-bracket is accepted for its stated context of use: preliminary structural release and use in downstream topology and rib-compliance assessment tasks for the quasi-static 15 g limit load case at room temperature. The peak von Mises stress (370 MPa) is below the 7075-T6 A-basis yield strength (503 MPa), providing a comfortable margin. Mesh convergence is demonstrated with a Richardson-extrapolated discretization error of ~1.9% on the governing stress QoI. Solver residuals, energy balance, and contact health metrics are all within tight bounds. An alternative element formulation agrees within 2.4%. Sensitivity to contact and friction parameters is small (≤2%). Analytical bench checks corroborate both stress and deflection results. A two-person internal peer review with tracked action items was completed. Acceptance is predicated on the documented scope limitations: this model does not cover fatigue, dynamic response, acoustic loading, coupled thermal effects, rib flexibility, or nonlinear material behavior. A rib-flexibility coupled model and physical testing are recommended before expanding the COU. Accepted by D. Rao (Lead FEA Engineer) and reviewed by A. Nguyen (Senior Structures Analyst).</t>
        </is>
      </c>
      <c r="C3" s="22" t="inlineStr">
        <is>
          <t>Auto-filled from Assessment Summary</t>
        </is>
      </c>
      <c r="D3" s="39" t="inlineStr">
        <is>
          <t>D. Rao</t>
        </is>
      </c>
      <c r="E3" s="39" t="inlineStr">
        <is>
          <t>2026-08-05</t>
        </is>
      </c>
    </row>
    <row r="4" ht="15" customHeight="1" s="18">
      <c r="A4" s="24" t="n"/>
      <c r="B4" s="24" t="n"/>
      <c r="C4" s="25">
        <f>'Assessment Summary'!H4</f>
        <v/>
      </c>
      <c r="D4" s="25" t="n"/>
      <c r="E4" s="33" t="n"/>
    </row>
  </sheetData>
  <mergeCells count="1">
    <mergeCell ref="A1:E1"/>
  </mergeCells>
  <dataValidations count="1">
    <dataValidation sqref="A4" showDropDown="0" showInputMessage="0" showErrorMessage="0" allowBlank="0" error="Select Accepted, Not accepted, or Conditional" type="list" errorStyle="stop" operator="between">
      <formula1>list_decision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2026-03-31T17:48:36Z</dcterms:created>
  <dcterms:modified xmlns:dcterms="http://purl.org/dc/terms/" xmlns:xsi="http://www.w3.org/2001/XMLSchema-instance" xsi:type="dcterms:W3CDTF">2026-08-06T05:08:56Z</dcterms:modified>
  <cp:revision>0</cp:revision>
</cp:coreProperties>
</file>