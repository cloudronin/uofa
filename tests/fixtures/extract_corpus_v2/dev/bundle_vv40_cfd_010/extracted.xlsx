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ssessment Summary" sheetId="1" state="visible" r:id="rId1"/>
    <sheet xmlns:r="http://schemas.openxmlformats.org/officeDocument/2006/relationships" name="Instructions" sheetId="2" state="visible" r:id="rId2"/>
    <sheet xmlns:r="http://schemas.openxmlformats.org/officeDocument/2006/relationships" name="_Lists" sheetId="3" state="hidden" r:id="rId3"/>
    <sheet xmlns:r="http://schemas.openxmlformats.org/officeDocument/2006/relationships" name="Model &amp; Data" sheetId="4" state="visible" r:id="rId4"/>
    <sheet xmlns:r="http://schemas.openxmlformats.org/officeDocument/2006/relationships" name="Validation Results" sheetId="5" state="visible" r:id="rId5"/>
    <sheet xmlns:r="http://schemas.openxmlformats.org/officeDocument/2006/relationships" name="Credibility Factors" sheetId="6" state="visible" r:id="rId6"/>
    <sheet xmlns:r="http://schemas.openxmlformats.org/officeDocument/2006/relationships" name="Decision" sheetId="7" state="visible" r:id="rId7"/>
  </sheets>
  <definedNames>
    <definedName name="list_assessed" hidden="0" function="0" vbProcedure="0">_Lists!$J$2:$J$4</definedName>
    <definedName name="list_assurance" hidden="0" function="0" vbProcedure="0">_Lists!$D$2:$D$4</definedName>
    <definedName name="list_decision" hidden="0" function="0" vbProcedure="0">_Lists!$K$2:$K$4</definedName>
    <definedName name="list_device_class" hidden="0" function="0" vbProcedure="0">_Lists!$B$2:$B$10</definedName>
    <definedName name="list_entity_type" hidden="0" function="0" vbProcedure="0">_Lists!$F$2:$F$4</definedName>
    <definedName name="list_factor_level" hidden="0" function="0" vbProcedure="0">_Lists!$I$2:$I$5</definedName>
    <definedName name="list_has_uq" hidden="0" function="0" vbProcedure="0">_Lists!$G$2:$G$3</definedName>
    <definedName name="list_mrl" hidden="0" function="0" vbProcedure="0">_Lists!$C$2:$C$6</definedName>
    <definedName name="list_pass_fail" hidden="0" function="0" vbProcedure="0">_Lists!$H$2:$H$5</definedName>
    <definedName name="list_profile" hidden="0" function="0" vbProcedure="0">_Lists!$A$2:$A$3</definedName>
    <definedName name="list_standards" hidden="0" function="0" vbProcedure="0">_Lists!$E$2:$E$5</definedName>
  </definedNames>
  <calcPr calcId="124519" fullCalcOnLoad="1" refMode="A1" iterate="0" iterateCount="100" iterateDelta="0.0001"/>
</workbook>
</file>

<file path=xl/styles.xml><?xml version="1.0" encoding="utf-8"?>
<styleSheet xmlns="http://schemas.openxmlformats.org/spreadsheetml/2006/main">
  <numFmts count="0"/>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B4F72"/>
      <sz val="14"/>
    </font>
    <font>
      <name val="Arial"/>
      <charset val="1"/>
      <family val="0"/>
      <b val="1"/>
      <color rgb="FFFFFFFF"/>
      <sz val="10"/>
    </font>
    <font>
      <name val="Arial"/>
      <charset val="1"/>
      <family val="0"/>
      <i val="1"/>
      <color rgb="FF666666"/>
      <sz val="9"/>
    </font>
    <font>
      <name val="Arial"/>
      <charset val="1"/>
      <family val="0"/>
      <sz val="10"/>
    </font>
    <font>
      <name val="Arial"/>
      <charset val="1"/>
      <family val="0"/>
      <b val="1"/>
      <sz val="9"/>
    </font>
    <font>
      <name val="Arial"/>
      <charset val="1"/>
      <family val="0"/>
      <sz val="9"/>
    </font>
    <font>
      <name val="Arial"/>
      <charset val="1"/>
      <family val="0"/>
      <b val="1"/>
      <color rgb="FF1B4F72"/>
      <sz val="10"/>
    </font>
    <font>
      <name val="Cambria"/>
      <charset val="1"/>
      <family val="0"/>
      <b val="1"/>
      <sz val="11"/>
    </font>
    <font>
      <name val="Arial"/>
      <charset val="1"/>
      <family val="0"/>
      <i val="1"/>
      <color rgb="FF555555"/>
      <sz val="10"/>
    </font>
    <font>
      <name val="Arial"/>
      <charset val="1"/>
      <family val="0"/>
      <b val="1"/>
      <sz val="10"/>
    </font>
    <font>
      <name val="Arial"/>
      <b val="1"/>
      <color rgb="00FFFFFF"/>
      <sz val="10"/>
    </font>
    <font>
      <name val="Arial"/>
      <color rgb="00666666"/>
      <sz val="9"/>
    </font>
  </fonts>
  <fills count="10">
    <fill>
      <patternFill/>
    </fill>
    <fill>
      <patternFill patternType="gray125"/>
    </fill>
    <fill>
      <patternFill patternType="solid">
        <fgColor rgb="FF1B4F72"/>
        <bgColor rgb="FF333399"/>
      </patternFill>
    </fill>
    <fill>
      <patternFill patternType="solid">
        <fgColor rgb="FFF2F3F4"/>
        <bgColor rgb="FFFFFFFF"/>
      </patternFill>
    </fill>
    <fill>
      <patternFill patternType="solid">
        <fgColor rgb="FFD6EAF8"/>
        <bgColor rgb="FFD5F5E3"/>
      </patternFill>
    </fill>
    <fill>
      <patternFill patternType="solid">
        <fgColor rgb="FFD5F5E3"/>
        <bgColor rgb="FFD6EAF8"/>
      </patternFill>
    </fill>
    <fill>
      <patternFill patternType="solid">
        <fgColor rgb="FFFFFFFF"/>
        <bgColor rgb="FFF2F3F4"/>
      </patternFill>
    </fill>
    <fill>
      <patternFill patternType="solid">
        <fgColor rgb="001B4F72"/>
      </patternFill>
    </fill>
    <fill>
      <patternFill patternType="solid">
        <fgColor rgb="00F2F3F4"/>
      </patternFill>
    </fill>
    <fill>
      <patternFill patternType="solid">
        <fgColor rgb="00FFEB9C"/>
        <bgColor rgb="00FFEB9C"/>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00CCCCCC"/>
      </left>
      <right style="thin">
        <color rgb="00CCCCCC"/>
      </right>
      <top style="thin">
        <color rgb="00CCCCCC"/>
      </top>
      <bottom style="thin">
        <color rgb="00CCCCCC"/>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6"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6" fillId="3" borderId="1" applyAlignment="1" pivotButton="0" quotePrefix="0" xfId="0">
      <alignment horizontal="general" vertical="top" wrapText="1"/>
    </xf>
    <xf numFmtId="0" fontId="6" fillId="0" borderId="0" pivotButton="0" quotePrefix="0" xfId="0"/>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14" fillId="7" borderId="2" applyAlignment="1" pivotButton="0" quotePrefix="0" xfId="0">
      <alignment horizontal="center" vertical="center" wrapText="1"/>
    </xf>
    <xf numFmtId="0" fontId="15" fillId="8" borderId="2" applyAlignment="1" pivotButton="0" quotePrefix="0" xfId="0">
      <alignment vertical="top" wrapText="1"/>
    </xf>
    <xf numFmtId="0" fontId="6" fillId="9" borderId="1" applyAlignment="1" pivotButton="0" quotePrefix="0" xfId="0">
      <alignment horizontal="general" vertical="top" wrapText="1"/>
    </xf>
    <xf numFmtId="0" fontId="6" fillId="9" borderId="0" pivotButton="0" quotePrefix="0" xfId="0"/>
    <xf numFmtId="0" fontId="7" fillId="9" borderId="1" applyAlignment="1" pivotButton="0" quotePrefix="0" xfId="0">
      <alignment horizontal="general" vertical="top" wrapText="1"/>
    </xf>
    <xf numFmtId="0" fontId="0" fillId="9"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2F3F4"/>
      <rgbColor rgb="FFD6EAF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5F5E3"/>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B4F72"/>
      <rgbColor rgb="FF339966"/>
      <rgbColor rgb="FF003300"/>
      <rgbColor rgb="FF333300"/>
      <rgbColor rgb="FF993300"/>
      <rgbColor rgb="FF993366"/>
      <rgbColor rgb="FF333399"/>
      <rgbColor rgb="FF555555"/>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C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G3" authorId="0" shapeId="0">
      <text>
        <t>[Extract] | Confidence: 50%</t>
      </text>
    </comment>
    <comment ref="H3" authorId="0" shapeId="0">
      <text>
        <t>[Extract] | Confidence: 50%</t>
      </text>
    </comment>
    <comment ref="I3" authorId="0" shapeId="0">
      <text>
        <t>[Extract] | Confidence: 50%</t>
      </text>
    </comment>
    <comment ref="L3" authorId="0" shapeId="0">
      <text>
        <t>[Extract] | Confidence: 50%</t>
      </text>
    </comment>
  </commentList>
</comments>
</file>

<file path=xl/comments/comment2.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 ref="A7" authorId="0" shapeId="0">
      <text>
        <t>[Extract] | Confidence: 50%</t>
      </text>
    </comment>
    <comment ref="B7" authorId="0" shapeId="0">
      <text>
        <t>[Extract] | Confidence: 50%</t>
      </text>
    </comment>
    <comment ref="D7" authorId="0" shapeId="0">
      <text>
        <t>[Extract] | Confidence: 50%</t>
      </text>
    </comment>
  </commentList>
</comments>
</file>

<file path=xl/comments/comment3.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G3" authorId="0" shapeId="0">
      <text>
        <t>[Extract] | Confidence: 50%</t>
      </text>
    </comment>
    <comment ref="H3" authorId="0" shapeId="0">
      <text>
        <t>[Extract] | Confidence: 50%</t>
      </text>
    </comment>
    <comment ref="I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E4" authorId="0" shapeId="0">
      <text>
        <t>[Extract] | Confidence: 50%</t>
      </text>
    </comment>
    <comment ref="F4" authorId="0" shapeId="0">
      <text>
        <t>[Extract] | Confidence: 50%</t>
      </text>
    </comment>
    <comment ref="G4" authorId="0" shapeId="0">
      <text>
        <t>[Extract] | Confidence: 50%</t>
      </text>
    </comment>
    <comment ref="H4" authorId="0" shapeId="0">
      <text>
        <t>[Extract] | Confidence: 50%</t>
      </text>
    </comment>
    <comment ref="I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G5" authorId="0" shapeId="0">
      <text>
        <t>[Extract] | Confidence: 50%</t>
      </text>
    </comment>
    <comment ref="H5" authorId="0" shapeId="0">
      <text>
        <t>[Extract] | Confidence: 50%</t>
      </text>
    </comment>
    <comment ref="I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G6" authorId="0" shapeId="0">
      <text>
        <t>[Extract] | Confidence: 50%</t>
      </text>
    </comment>
    <comment ref="H6" authorId="0" shapeId="0">
      <text>
        <t>[Extract] | Confidence: 50%</t>
      </text>
    </comment>
    <comment ref="I6" authorId="0" shapeId="0">
      <text>
        <t>[Extract] | Confidence: 50%</t>
      </text>
    </comment>
    <comment ref="A7" authorId="0" shapeId="0">
      <text>
        <t>[Extract] | Confidence: 50%</t>
      </text>
    </comment>
    <comment ref="B7" authorId="0" shapeId="0">
      <text>
        <t>[Extract] | Confidence: 50%</t>
      </text>
    </comment>
    <comment ref="D7" authorId="0" shapeId="0">
      <text>
        <t>[Extract] | Confidence: 50%</t>
      </text>
    </comment>
    <comment ref="E7" authorId="0" shapeId="0">
      <text>
        <t>[Extract] | Confidence: 50%</t>
      </text>
    </comment>
    <comment ref="F7" authorId="0" shapeId="0">
      <text>
        <t>[Extract] | Confidence: 50%</t>
      </text>
    </comment>
    <comment ref="G7" authorId="0" shapeId="0">
      <text>
        <t>[Extract] | Confidence: 50%</t>
      </text>
    </comment>
    <comment ref="H7" authorId="0" shapeId="0">
      <text>
        <t>[Extract] | Confidence: 50%</t>
      </text>
    </comment>
    <comment ref="I7" authorId="0" shapeId="0">
      <text>
        <t>[Extract] | Confidence: 50%</t>
      </text>
    </comment>
    <comment ref="A8" authorId="0" shapeId="0">
      <text>
        <t>[Extract] | Confidence: 50%</t>
      </text>
    </comment>
    <comment ref="B8" authorId="0" shapeId="0">
      <text>
        <t>[Extract] | Confidence: 50%</t>
      </text>
    </comment>
    <comment ref="D8" authorId="0" shapeId="0">
      <text>
        <t>[Extract] | Confidence: 50%</t>
      </text>
    </comment>
    <comment ref="E8" authorId="0" shapeId="0">
      <text>
        <t>[Extract] | Confidence: 50%</t>
      </text>
    </comment>
    <comment ref="F8" authorId="0" shapeId="0">
      <text>
        <t>[Extract] | Confidence: 50%</t>
      </text>
    </comment>
    <comment ref="G8" authorId="0" shapeId="0">
      <text>
        <t>[Extract] | Confidence: 50%</t>
      </text>
    </comment>
    <comment ref="H8" authorId="0" shapeId="0">
      <text>
        <t>[Extract] | Confidence: 50%</t>
      </text>
    </comment>
    <comment ref="I8" authorId="0" shapeId="0">
      <text>
        <t>[Extract] | Confidence: 50%</t>
      </text>
    </comment>
  </commentList>
</comments>
</file>

<file path=xl/comments/comment4.xml><?xml version="1.0" encoding="utf-8"?>
<comments xmlns="http://schemas.openxmlformats.org/spreadsheetml/2006/main">
  <authors>
    <author>uofa extract</author>
  </authors>
  <commentList>
    <comment ref="C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G5" authorId="0" shapeId="0">
      <text>
        <t>[Extract] | Confidence: 50%</t>
      </text>
    </comment>
    <comment ref="C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G6" authorId="0" shapeId="0">
      <text>
        <t>[Extract] | Confidence: 50%</t>
      </text>
    </comment>
    <comment ref="C7" authorId="0" shapeId="0">
      <text>
        <t>[Extract] | Confidence: 50%</t>
      </text>
    </comment>
    <comment ref="D7" authorId="0" shapeId="0">
      <text>
        <t>[Extract] | Confidence: 50%</t>
      </text>
    </comment>
    <comment ref="E7" authorId="0" shapeId="0">
      <text>
        <t>[Extract] | Confidence: 50%</t>
      </text>
    </comment>
    <comment ref="F7" authorId="0" shapeId="0">
      <text>
        <t>[Extract] | Confidence: 50%</t>
      </text>
    </comment>
    <comment ref="G7" authorId="0" shapeId="0">
      <text>
        <t>[Extract] | Confidence: 50%</t>
      </text>
    </comment>
    <comment ref="C8" authorId="0" shapeId="0">
      <text>
        <t>[Extract] | Confidence: 50%</t>
      </text>
    </comment>
    <comment ref="D8" authorId="0" shapeId="0">
      <text>
        <t>[Extract] | Confidence: 50%</t>
      </text>
    </comment>
    <comment ref="E8" authorId="0" shapeId="0">
      <text>
        <t>[Extract] | Confidence: 50%</t>
      </text>
    </comment>
    <comment ref="F8" authorId="0" shapeId="0">
      <text>
        <t>[Extract] | Confidence: 50%</t>
      </text>
    </comment>
    <comment ref="G8" authorId="0" shapeId="0">
      <text>
        <t>[Extract] | Confidence: 50%</t>
      </text>
    </comment>
    <comment ref="C9" authorId="0" shapeId="0">
      <text>
        <t>[Extract] | Confidence: 50%</t>
      </text>
    </comment>
    <comment ref="D9" authorId="0" shapeId="0">
      <text>
        <t>[Extract] | Confidence: 50%</t>
      </text>
    </comment>
    <comment ref="E9" authorId="0" shapeId="0">
      <text>
        <t>[Extract] | Confidence: 50%</t>
      </text>
    </comment>
    <comment ref="F9" authorId="0" shapeId="0">
      <text>
        <t>[Extract] | Confidence: 50%</t>
      </text>
    </comment>
    <comment ref="G9" authorId="0" shapeId="0">
      <text>
        <t>[Extract] | Confidence: 50%</t>
      </text>
    </comment>
    <comment ref="C10" authorId="0" shapeId="0">
      <text>
        <t>[Extract] | Confidence: 50%</t>
      </text>
    </comment>
    <comment ref="D10" authorId="0" shapeId="0">
      <text>
        <t>[Extract] | Confidence: 50%</t>
      </text>
    </comment>
    <comment ref="E10" authorId="0" shapeId="0">
      <text>
        <t>[Extract] | Confidence: 50%</t>
      </text>
    </comment>
    <comment ref="F10" authorId="0" shapeId="0">
      <text>
        <t>[Extract] | Confidence: 50%</t>
      </text>
    </comment>
    <comment ref="G10" authorId="0" shapeId="0">
      <text>
        <t>[Extract] | Confidence: 50%</t>
      </text>
    </comment>
    <comment ref="C11" authorId="0" shapeId="0">
      <text>
        <t>[Extract] | Confidence: 50%</t>
      </text>
    </comment>
    <comment ref="D11" authorId="0" shapeId="0">
      <text>
        <t>[Extract] | Confidence: 50%</t>
      </text>
    </comment>
    <comment ref="E11" authorId="0" shapeId="0">
      <text>
        <t>[Extract] | Confidence: 50%</t>
      </text>
    </comment>
    <comment ref="F11" authorId="0" shapeId="0">
      <text>
        <t>[Extract] | Confidence: 50%</t>
      </text>
    </comment>
    <comment ref="G11" authorId="0" shapeId="0">
      <text>
        <t>[Extract] | Confidence: 50%</t>
      </text>
    </comment>
    <comment ref="C12" authorId="0" shapeId="0">
      <text>
        <t>[Extract] | Confidence: 50%</t>
      </text>
    </comment>
    <comment ref="D12" authorId="0" shapeId="0">
      <text>
        <t>[Extract] | Confidence: 50%</t>
      </text>
    </comment>
    <comment ref="E12" authorId="0" shapeId="0">
      <text>
        <t>[Extract] | Confidence: 50%</t>
      </text>
    </comment>
    <comment ref="F12" authorId="0" shapeId="0">
      <text>
        <t>[Extract] | Confidence: 50%</t>
      </text>
    </comment>
    <comment ref="G12" authorId="0" shapeId="0">
      <text>
        <t>[Extract] | Confidence: 50%</t>
      </text>
    </comment>
    <comment ref="C13" authorId="0" shapeId="0">
      <text>
        <t>[Extract] | Confidence: 50%</t>
      </text>
    </comment>
    <comment ref="D13" authorId="0" shapeId="0">
      <text>
        <t>[Extract] | Confidence: 50%</t>
      </text>
    </comment>
    <comment ref="E13" authorId="0" shapeId="0">
      <text>
        <t>[Extract] | Confidence: 50%</t>
      </text>
    </comment>
    <comment ref="F13" authorId="0" shapeId="0">
      <text>
        <t>[Extract] | Confidence: 50%</t>
      </text>
    </comment>
    <comment ref="G13" authorId="0" shapeId="0">
      <text>
        <t>[Extract] | Confidence: 50%</t>
      </text>
    </comment>
    <comment ref="C14" authorId="0" shapeId="0">
      <text>
        <t>[Extract] | Confidence: 50%</t>
      </text>
    </comment>
    <comment ref="D14" authorId="0" shapeId="0">
      <text>
        <t>[Extract] | Confidence: 50%</t>
      </text>
    </comment>
    <comment ref="E14" authorId="0" shapeId="0">
      <text>
        <t>[Extract] | Confidence: 50%</t>
      </text>
    </comment>
    <comment ref="F14" authorId="0" shapeId="0">
      <text>
        <t>[Extract] | Confidence: 50%</t>
      </text>
    </comment>
    <comment ref="G14" authorId="0" shapeId="0">
      <text>
        <t>[Extract] | Confidence: 50%</t>
      </text>
    </comment>
    <comment ref="C15" authorId="0" shapeId="0">
      <text>
        <t>[Extract] | Confidence: 50%</t>
      </text>
    </comment>
    <comment ref="D15" authorId="0" shapeId="0">
      <text>
        <t>[Extract] | Confidence: 50%</t>
      </text>
    </comment>
    <comment ref="E15" authorId="0" shapeId="0">
      <text>
        <t>[Extract] | Confidence: 50%</t>
      </text>
    </comment>
    <comment ref="F15" authorId="0" shapeId="0">
      <text>
        <t>[Extract] | Confidence: 50%</t>
      </text>
    </comment>
    <comment ref="G15" authorId="0" shapeId="0">
      <text>
        <t>[Extract] | Confidence: 50%</t>
      </text>
    </comment>
    <comment ref="C16" authorId="0" shapeId="0">
      <text>
        <t>[Extract] | Confidence: 50%</t>
      </text>
    </comment>
    <comment ref="D16" authorId="0" shapeId="0">
      <text>
        <t>[Extract] | Confidence: 50%</t>
      </text>
    </comment>
    <comment ref="E16" authorId="0" shapeId="0">
      <text>
        <t>[Extract] | Confidence: 50%</t>
      </text>
    </comment>
    <comment ref="F16" authorId="0" shapeId="0">
      <text>
        <t>[Extract] | Confidence: 50%</t>
      </text>
    </comment>
    <comment ref="G16" authorId="0" shapeId="0">
      <text>
        <t>[Extract] | Confidence: 50%</t>
      </text>
    </comment>
    <comment ref="C17" authorId="0" shapeId="0">
      <text>
        <t>[Extract] | Confidence: 50%</t>
      </text>
    </comment>
    <comment ref="D17" authorId="0" shapeId="0">
      <text>
        <t>[Extract] | Confidence: 50%</t>
      </text>
    </comment>
    <comment ref="E17" authorId="0" shapeId="0">
      <text>
        <t>[Extract] | Confidence: 50%</t>
      </text>
    </comment>
    <comment ref="F17" authorId="0" shapeId="0">
      <text>
        <t>[Extract] | Confidence: 50%</t>
      </text>
    </comment>
    <comment ref="G17" authorId="0" shapeId="0">
      <text>
        <t>[Extract] | Confidence: 50%</t>
      </text>
    </comment>
  </commentList>
</comments>
</file>

<file path=xl/comments/comment5.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E3" authorId="0" shapeId="0">
      <text>
        <t>[Extract] | Confidence: 50%</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filterMode="0">
    <outlinePr summaryBelow="1" summaryRight="1"/>
    <pageSetUpPr fitToPage="1"/>
  </sheetPr>
  <dimension ref="A1:L6"/>
  <sheetViews>
    <sheetView showFormulas="0" showGridLines="1" showRowColHeaders="1" showZeros="1" rightToLeft="0" tabSelected="1"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0" customWidth="1" style="17" min="2" max="2"/>
    <col width="40" customWidth="1" style="17" min="3" max="3"/>
    <col width="12" customWidth="1" style="17" min="4" max="4"/>
    <col width="14" customWidth="1" style="17" min="5" max="5"/>
    <col width="16" customWidth="1" style="17" min="6" max="6"/>
    <col width="14" customWidth="1" style="17" min="7" max="7"/>
    <col width="20" customWidth="1" style="17" min="8" max="8"/>
    <col width="22" customWidth="1" style="17" min="9" max="9"/>
    <col width="16" customWidth="1" style="17" min="10" max="10"/>
    <col width="30" customWidth="1" style="17" min="11" max="11"/>
  </cols>
  <sheetData>
    <row r="1" ht="30" customHeight="1" s="18">
      <c r="A1" s="19" t="inlineStr">
        <is>
          <t>Unit of Assurance — Assessment Summary</t>
        </is>
      </c>
    </row>
    <row r="2" ht="23.85" customHeight="1" s="18">
      <c r="A2" s="20" t="inlineStr">
        <is>
          <t>Project Name</t>
        </is>
      </c>
      <c r="B2" s="20" t="inlineStr">
        <is>
          <t>COU Name</t>
        </is>
      </c>
      <c r="C2" s="20" t="inlineStr">
        <is>
          <t>COU Description</t>
        </is>
      </c>
      <c r="D2" s="20" t="inlineStr">
        <is>
          <t>Profile</t>
        </is>
      </c>
      <c r="E2" s="20" t="inlineStr">
        <is>
          <t>Device Class</t>
        </is>
      </c>
      <c r="F2" s="20" t="inlineStr">
        <is>
          <t>Model Risk Level</t>
        </is>
      </c>
      <c r="G2" s="20" t="inlineStr">
        <is>
          <t>Assurance Level</t>
        </is>
      </c>
      <c r="H2" s="20" t="inlineStr">
        <is>
          <t>Standards Reference</t>
        </is>
      </c>
      <c r="I2" s="20" t="inlineStr">
        <is>
          <t>Assessor Name</t>
        </is>
      </c>
      <c r="J2" s="20" t="inlineStr">
        <is>
          <t>Assessment Date</t>
        </is>
      </c>
      <c r="K2" s="20" t="inlineStr">
        <is>
          <t>Source Document</t>
        </is>
      </c>
      <c r="L2" s="21" t="inlineStr">
        <is>
          <t>Has UQ?</t>
        </is>
      </c>
    </row>
    <row r="3" ht="32.8" customHeight="1" s="18">
      <c r="A3" s="39" t="inlineStr">
        <is>
          <t>CFD of Coronary Stent Hemodynamics — Design Freeze Support</t>
        </is>
      </c>
      <c r="B3" s="39" t="inlineStr">
        <is>
          <t>Unsteady CFD to rank candidate stent geometries and confirm selected design hemodynamic acceptability prior to tool-up</t>
        </is>
      </c>
      <c r="C3" s="39" t="inlineStr">
        <is>
          <t>An unsteady incompressible Navier–Stokes CFD model of Pattern B cobalt-chromium drug-eluting coronary stent deployed in a 3.0 mm mildly curved coronary phantom. The model predicts TAWSS and OSI fields to rank three candidate lattice patterns and to verify that the selected design's hemodynamic footprint falls within ranges measured in an independent phantom PIV experiment under matched pulsatile flow conditions.</t>
        </is>
      </c>
      <c r="D3" s="39" t="inlineStr">
        <is>
          <t>Complete</t>
        </is>
      </c>
      <c r="E3" s="39" t="inlineStr">
        <is>
          <t>Class III</t>
        </is>
      </c>
      <c r="F3" s="39" t="inlineStr">
        <is>
          <t>MRL 3</t>
        </is>
      </c>
      <c r="G3" s="39" t="inlineStr">
        <is>
          <t>Medium</t>
        </is>
      </c>
      <c r="H3" s="39" t="inlineStr">
        <is>
          <t>ASME-VV40-2018</t>
        </is>
      </c>
      <c r="I3" s="39" t="inlineStr">
        <is>
          <t>Fluids Group, CardioDesign R&amp;D (lead: JD; supporting: ML)</t>
        </is>
      </c>
      <c r="J3" s="22" t="inlineStr">
        <is>
          <t>Date of this assessment (YYYY-MM-DD)</t>
        </is>
      </c>
      <c r="K3" s="22" t="inlineStr">
        <is>
          <t>DOI, report number, or URI</t>
        </is>
      </c>
      <c r="L3" s="40" t="inlineStr">
        <is>
          <t>Yes</t>
        </is>
      </c>
    </row>
    <row r="4" ht="15" customHeight="1" s="18">
      <c r="A4" s="24" t="n"/>
      <c r="B4" s="24" t="n"/>
      <c r="C4" s="25" t="n"/>
      <c r="D4" s="24" t="n"/>
      <c r="E4" s="25" t="n"/>
      <c r="F4" s="25" t="n"/>
      <c r="G4" s="25" t="n"/>
      <c r="H4" s="25" t="n"/>
      <c r="I4" s="24" t="n"/>
      <c r="J4" s="24" t="n"/>
      <c r="K4" s="25" t="n"/>
    </row>
    <row r="6" ht="15" customHeight="1" s="18">
      <c r="A6" s="26" t="inlineStr">
        <is>
          <t>Legend:</t>
        </is>
      </c>
      <c r="C6" s="27" t="inlineStr">
        <is>
          <t>Required (Minimal)</t>
        </is>
      </c>
      <c r="D6" s="28" t="inlineStr">
        <is>
          <t>Required (Complete)</t>
        </is>
      </c>
      <c r="E6" s="29" t="inlineStr">
        <is>
          <t>Optional</t>
        </is>
      </c>
    </row>
  </sheetData>
  <mergeCells count="2">
    <mergeCell ref="A1:K1"/>
    <mergeCell ref="A6:B6"/>
  </mergeCells>
  <dataValidations count="5">
    <dataValidation sqref="D4" showDropDown="0" showInputMessage="0" showErrorMessage="0" allowBlank="0" error="Select Minimal or Complete" type="list" errorStyle="stop" operator="between">
      <formula1>list_profile</formula1>
      <formula2>0</formula2>
    </dataValidation>
    <dataValidation sqref="E4" showDropDown="0" showInputMessage="0" showErrorMessage="0" allowBlank="1" type="list" errorStyle="stop" operator="between">
      <formula1>list_device_class</formula1>
      <formula2>0</formula2>
    </dataValidation>
    <dataValidation sqref="F4" showDropDown="0" showInputMessage="0" showErrorMessage="0" allowBlank="1" type="list" errorStyle="stop" operator="between">
      <formula1>list_mrl</formula1>
      <formula2>0</formula2>
    </dataValidation>
    <dataValidation sqref="G4" showDropDown="0" showInputMessage="0" showErrorMessage="0" allowBlank="1" type="list" errorStyle="stop" operator="between">
      <formula1>list_assurance</formula1>
      <formula2>0</formula2>
    </dataValidation>
    <dataValidation sqref="H4" showDropDown="0" showInputMessage="0" showErrorMessage="0" allowBlank="1" type="list" errorStyle="stop" operator="between">
      <formula1>list_standards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2.xml><?xml version="1.0" encoding="utf-8"?>
<worksheet xmlns="http://schemas.openxmlformats.org/spreadsheetml/2006/main">
  <sheetPr filterMode="0">
    <outlinePr summaryBelow="1" summaryRight="1"/>
    <pageSetUpPr fitToPage="1"/>
  </sheetPr>
  <dimension ref="A1:B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7" min="1" max="1"/>
    <col width="90" customWidth="1" style="17" min="2" max="2"/>
  </cols>
  <sheetData>
    <row r="1" ht="30" customHeight="1" s="18">
      <c r="A1" s="19" t="inlineStr">
        <is>
          <t>UofA Excel Template — Instructions</t>
        </is>
      </c>
    </row>
    <row r="3" ht="39.75" customHeight="1" s="18">
      <c r="A3" s="30" t="inlineStr">
        <is>
          <t>What is this?</t>
        </is>
      </c>
      <c r="B3" s="31" t="inlineStr">
        <is>
          <t>This workbook captures a credibility assessment for one Context of Use (COU). Fill it out, then run `uofa import` to convert it to a machine-verifiable evidence package.</t>
        </is>
      </c>
    </row>
    <row r="4" ht="39.75" customHeight="1" s="18">
      <c r="A4" s="30" t="inlineStr">
        <is>
          <t>One workbook = one COU</t>
        </is>
      </c>
      <c r="B4" s="31" t="inlineStr">
        <is>
          <t>If your project has multiple COUs (e.g., different device classes or risk levels for the same model), create a separate workbook for each.</t>
        </is>
      </c>
    </row>
    <row r="5" ht="39.75" customHeight="1" s="18">
      <c r="A5" s="30" t="inlineStr">
        <is>
          <t>Profiles</t>
        </is>
      </c>
      <c r="B5" s="31" t="inlineStr">
        <is>
          <t>Minimal (7 fields, lightweight audit trail) is for early-stage projects or live pipeline capture. Complete (full V&amp;V 40 assessment) is for regulatory submissions.</t>
        </is>
      </c>
    </row>
    <row r="6" ht="39.75" customHeight="1" s="18">
      <c r="A6" s="30" t="inlineStr">
        <is>
          <t>Color coding</t>
        </is>
      </c>
      <c r="B6" s="31" t="inlineStr">
        <is>
          <t>Blue cells = required for Minimal profile. Green cells = required for Complete profile. White cells = optional.</t>
        </is>
      </c>
    </row>
    <row r="7" ht="39.75" customHeight="1" s="18">
      <c r="A7" s="30" t="inlineStr">
        <is>
          <t>Credibility Factors</t>
        </is>
      </c>
      <c r="B7" s="31" t="inlineStr">
        <is>
          <t>Sheet 4 is pre-populated with all 13 V&amp;V 40 factors from Table 5-1. You do not need to assess all 13 — set Assessed = "No" or "N/A" for factors not relevant to your COU.</t>
        </is>
      </c>
    </row>
    <row r="8" ht="39.75" customHeight="1" s="18">
      <c r="A8" s="30" t="inlineStr">
        <is>
          <t>Dropdowns</t>
        </is>
      </c>
      <c r="B8" s="31" t="inlineStr">
        <is>
          <t>Most constrained fields use dropdown lists. If you need a custom value not in the dropdown, type it directly (the validation will warn but not prevent entry).</t>
        </is>
      </c>
    </row>
    <row r="9" ht="39.75" customHeight="1" s="18">
      <c r="A9" s="30" t="inlineStr">
        <is>
          <t>After filling out</t>
        </is>
      </c>
      <c r="B9" s="31" t="inlineStr">
        <is>
          <t>Run: uofa import your-file.xlsx --sign --key keys/your.key --check</t>
        </is>
      </c>
    </row>
    <row r="10" ht="39.75" customHeight="1" s="18">
      <c r="A10" s="30" t="inlineStr">
        <is>
          <t>What the tool checks</t>
        </is>
      </c>
      <c r="B10" s="31" t="inlineStr">
        <is>
          <t>Gate 1 (SHACL): Are all required fields present? Gate 2 (Jena rules): Are there quality gaps (weakeners)? Gate 3 (Integrity): Is the hash and signature valid?</t>
        </is>
      </c>
    </row>
    <row r="11" ht="39.75" customHeight="1" s="18">
      <c r="A11" s="30" t="inlineStr">
        <is>
          <t>More info</t>
        </is>
      </c>
      <c r="B11" s="31" t="inlineStr">
        <is>
          <t>https://crediblesimulation.com | https://github.com/cloudronin/uofa</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row r="1" ht="15" customHeight="1" s="18">
      <c r="A1" s="32" t="inlineStr">
        <is>
          <t>Profile</t>
        </is>
      </c>
      <c r="B1" s="32" t="inlineStr">
        <is>
          <t>Device Class</t>
        </is>
      </c>
      <c r="C1" s="32" t="inlineStr">
        <is>
          <t>Model Risk Level</t>
        </is>
      </c>
      <c r="D1" s="32" t="inlineStr">
        <is>
          <t>Assurance Level</t>
        </is>
      </c>
      <c r="E1" s="32" t="inlineStr">
        <is>
          <t>Standards Reference</t>
        </is>
      </c>
      <c r="F1" s="32" t="inlineStr">
        <is>
          <t>Entity Type</t>
        </is>
      </c>
      <c r="G1" s="32" t="inlineStr">
        <is>
          <t>Has UQ</t>
        </is>
      </c>
      <c r="H1" s="32" t="inlineStr">
        <is>
          <t>Pass/Fail</t>
        </is>
      </c>
      <c r="I1" s="32" t="inlineStr">
        <is>
          <t>Factor Level (1-5)</t>
        </is>
      </c>
      <c r="J1" s="32" t="inlineStr">
        <is>
          <t>Factor Status</t>
        </is>
      </c>
      <c r="K1" s="32" t="inlineStr">
        <is>
          <t>Decision Outcome</t>
        </is>
      </c>
      <c r="L1" s="17" t="inlineStr">
        <is>
          <t>Has UQ (COU-level)</t>
        </is>
      </c>
    </row>
    <row r="2" ht="15" customHeight="1" s="18">
      <c r="A2" s="17" t="inlineStr">
        <is>
          <t>Minimal</t>
        </is>
      </c>
      <c r="B2" s="17" t="inlineStr">
        <is>
          <t>Class I</t>
        </is>
      </c>
      <c r="C2" s="17" t="inlineStr">
        <is>
          <t>MRL 1</t>
        </is>
      </c>
      <c r="D2" s="17" t="inlineStr">
        <is>
          <t>Low</t>
        </is>
      </c>
      <c r="E2" s="17" t="inlineStr">
        <is>
          <t>ASME-VV40-2018</t>
        </is>
      </c>
      <c r="F2" s="17" t="inlineStr">
        <is>
          <t>Requirement</t>
        </is>
      </c>
      <c r="G2" s="17" t="inlineStr">
        <is>
          <t>Yes</t>
        </is>
      </c>
      <c r="H2" s="17" t="inlineStr">
        <is>
          <t>Pass</t>
        </is>
      </c>
      <c r="I2" s="17" t="n">
        <v>1</v>
      </c>
      <c r="J2" s="17" t="inlineStr">
        <is>
          <t>assessed</t>
        </is>
      </c>
      <c r="K2" s="17" t="inlineStr">
        <is>
          <t>Accepted</t>
        </is>
      </c>
      <c r="L2" s="17" t="inlineStr">
        <is>
          <t>Yes</t>
        </is>
      </c>
    </row>
    <row r="3" ht="15" customHeight="1" s="18">
      <c r="A3" s="17" t="inlineStr">
        <is>
          <t>Complete</t>
        </is>
      </c>
      <c r="B3" s="17" t="inlineStr">
        <is>
          <t>Class II</t>
        </is>
      </c>
      <c r="C3" s="17" t="inlineStr">
        <is>
          <t>MRL 2</t>
        </is>
      </c>
      <c r="D3" s="17" t="inlineStr">
        <is>
          <t>Medium</t>
        </is>
      </c>
      <c r="E3" s="17" t="inlineStr">
        <is>
          <t>NASA-STD-7009B</t>
        </is>
      </c>
      <c r="F3" s="17" t="inlineStr">
        <is>
          <t>Model</t>
        </is>
      </c>
      <c r="G3" s="17" t="inlineStr">
        <is>
          <t>No</t>
        </is>
      </c>
      <c r="H3" s="17" t="inlineStr">
        <is>
          <t>Fail</t>
        </is>
      </c>
      <c r="I3" s="17" t="n">
        <v>2</v>
      </c>
      <c r="J3" s="17" t="inlineStr">
        <is>
          <t>not-assessed</t>
        </is>
      </c>
      <c r="K3" s="17" t="inlineStr">
        <is>
          <t>Not accepted</t>
        </is>
      </c>
      <c r="L3" s="17" t="inlineStr">
        <is>
          <t>No</t>
        </is>
      </c>
    </row>
    <row r="4" ht="15" customHeight="1" s="18">
      <c r="B4" s="17" t="inlineStr">
        <is>
          <t>Class III</t>
        </is>
      </c>
      <c r="C4" s="17" t="inlineStr">
        <is>
          <t>MRL 3</t>
        </is>
      </c>
      <c r="D4" s="17" t="inlineStr">
        <is>
          <t>High</t>
        </is>
      </c>
      <c r="E4" s="17" t="inlineStr">
        <is>
          <t>FDA-2023-CMS</t>
        </is>
      </c>
      <c r="F4" s="17" t="inlineStr">
        <is>
          <t>Dataset</t>
        </is>
      </c>
      <c r="H4" s="17" t="inlineStr">
        <is>
          <t>Inconclusive</t>
        </is>
      </c>
      <c r="I4" s="17" t="n">
        <v>3</v>
      </c>
      <c r="J4" s="17" t="inlineStr">
        <is>
          <t>scoped-out</t>
        </is>
      </c>
      <c r="K4" s="17" t="inlineStr">
        <is>
          <t>Conditional</t>
        </is>
      </c>
    </row>
    <row r="5" ht="15" customHeight="1" s="18">
      <c r="B5" s="17" t="inlineStr">
        <is>
          <t>Category A</t>
        </is>
      </c>
      <c r="C5" s="17" t="inlineStr">
        <is>
          <t>MRL 4</t>
        </is>
      </c>
      <c r="E5" s="17" t="inlineStr">
        <is>
          <t>Custom</t>
        </is>
      </c>
      <c r="H5" s="17" t="inlineStr">
        <is>
          <t>N/A</t>
        </is>
      </c>
      <c r="I5" s="17" t="n">
        <v>4</v>
      </c>
      <c r="J5" s="17" t="inlineStr">
        <is>
          <t>not-applicable</t>
        </is>
      </c>
    </row>
    <row r="6" ht="15" customHeight="1" s="18">
      <c r="B6" s="17" t="inlineStr">
        <is>
          <t>Category B</t>
        </is>
      </c>
      <c r="C6" s="17" t="inlineStr">
        <is>
          <t>MRL 5</t>
        </is>
      </c>
      <c r="I6" s="17" t="n">
        <v>5</v>
      </c>
    </row>
    <row r="7" ht="15" customHeight="1" s="18">
      <c r="B7" s="17" t="inlineStr">
        <is>
          <t>Category C</t>
        </is>
      </c>
    </row>
    <row r="8" ht="15" customHeight="1" s="18">
      <c r="B8" s="17" t="inlineStr">
        <is>
          <t>Category D</t>
        </is>
      </c>
    </row>
    <row r="9" ht="15" customHeight="1" s="18">
      <c r="B9" s="17" t="inlineStr">
        <is>
          <t>Category E</t>
        </is>
      </c>
    </row>
    <row r="10" ht="15" customHeight="1" s="18">
      <c r="B10" s="17" t="inlineStr">
        <is>
          <t>Other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5" customWidth="1" style="17" min="2" max="2"/>
    <col width="40" customWidth="1" style="17" min="3" max="3"/>
    <col width="45" customWidth="1" style="17" min="4" max="4"/>
    <col width="12" customWidth="1" style="17" min="5" max="5"/>
    <col width="20" customWidth="1" style="17" min="6" max="6"/>
  </cols>
  <sheetData>
    <row r="1" ht="30" customHeight="1" s="18">
      <c r="A1" s="19" t="inlineStr">
        <is>
          <t>Model &amp; Data — What you modeled and compared against</t>
        </is>
      </c>
    </row>
    <row r="2" ht="15" customHeight="1" s="18">
      <c r="A2" s="20" t="inlineStr">
        <is>
          <t>Entity Type</t>
        </is>
      </c>
      <c r="B2" s="20" t="inlineStr">
        <is>
          <t>Name</t>
        </is>
      </c>
      <c r="C2" s="20" t="inlineStr">
        <is>
          <t>Identifier / URI</t>
        </is>
      </c>
      <c r="D2" s="20" t="inlineStr">
        <is>
          <t>Description</t>
        </is>
      </c>
      <c r="E2" s="20" t="inlineStr">
        <is>
          <t>Version</t>
        </is>
      </c>
      <c r="F2" s="20" t="inlineStr">
        <is>
          <t>Source</t>
        </is>
      </c>
    </row>
    <row r="3" ht="32.8" customHeight="1" s="18">
      <c r="A3" s="39" t="inlineStr">
        <is>
          <t>Requirement</t>
        </is>
      </c>
      <c r="B3" s="39" t="inlineStr">
        <is>
          <t>Hemodynamic Acceptability Requirement</t>
        </is>
      </c>
      <c r="C3" s="22" t="inlineStr">
        <is>
          <t>Stable URI or local ID</t>
        </is>
      </c>
      <c r="D3" s="39" t="inlineStr">
        <is>
          <t>Predicted OSI95 and TAWSS distribution for Pattern B must fall within the envelope measured in the anatomically matched phantom PIV experiment under matched flow conditions; velocity nRMSE ≤10% (peak)/≤12% (mean), pressure drop within 7%, TAWSS/OSI Pearson r ≥ 0.85, median difference &lt; 15%, KS p &gt; 0.1; design ranking differences must exceed combined numerical and input uncertainties</t>
        </is>
      </c>
      <c r="E3" s="22" t="inlineStr">
        <is>
          <t>Version number (optional)</t>
        </is>
      </c>
      <c r="F3" s="22" t="inlineStr">
        <is>
          <t>Where this came from (optional)</t>
        </is>
      </c>
    </row>
    <row r="4" ht="15" customHeight="1" s="18">
      <c r="A4" s="41" t="inlineStr">
        <is>
          <t>Model</t>
        </is>
      </c>
      <c r="B4" s="41" t="inlineStr">
        <is>
          <t>Ansys Fluent 2024 R1 Unsteady CFD Model — Coronary Stent Pattern B</t>
        </is>
      </c>
      <c r="C4" s="24" t="n"/>
      <c r="D4" s="41" t="inlineStr">
        <is>
          <t>Incompressible unsteady Navier–Stokes laminar CFD model of Pattern B stent in 3.0 mm curved phantom; 6.0M polyhedral cells, second-order spatial and temporal discretization, pulsatile inlet from measured pump trace, rigid walls, Newtonian glycerol-water surrogate for bench runs</t>
        </is>
      </c>
      <c r="E4" s="33" t="n"/>
      <c r="F4" s="33" t="n"/>
    </row>
    <row r="5" ht="15" customHeight="1" s="18">
      <c r="A5" s="41" t="inlineStr">
        <is>
          <t>Dataset</t>
        </is>
      </c>
      <c r="B5" s="41" t="inlineStr">
        <is>
          <t>FlowLab LLC TR-PIV Experimental Dataset FL-2026-042</t>
        </is>
      </c>
      <c r="C5" s="24" t="n"/>
      <c r="D5" s="41" t="inlineStr">
        <is>
          <t>Time-resolved PIV phase-averaged velocity fields (40 phase bins, 500 fps) acquired in silicone phantom with refractive-index-matched glycerol-water surrogate by independent laboratory FlowLab LLC; velocity uncertainty ±3%, near-wall shear proxy uncertainty 10–12%</t>
        </is>
      </c>
      <c r="E5" s="33" t="n"/>
      <c r="F5" s="33" t="n"/>
    </row>
    <row r="6" ht="15" customHeight="1" s="18">
      <c r="A6" s="41" t="inlineStr">
        <is>
          <t>Dataset</t>
        </is>
      </c>
      <c r="B6" s="41" t="inlineStr">
        <is>
          <t>Micro-CT Geometry Dataset — Pattern B Deployed Phantom</t>
        </is>
      </c>
      <c r="C6" s="24" t="n"/>
      <c r="D6" s="41" t="inlineStr">
        <is>
          <t>Micro-CT scan at 10 μm voxel size of Pattern B stent deployed in silicone phantom; segmented in Mimics 26.0; 95th-percentile surface deviation from raw point cloud 8 μm, maximum 22 μm</t>
        </is>
      </c>
      <c r="E6" s="33" t="n"/>
      <c r="F6" s="33" t="n"/>
    </row>
    <row r="7" ht="15" customHeight="1" s="18">
      <c r="A7" s="41" t="inlineStr">
        <is>
          <t>Dataset</t>
        </is>
      </c>
      <c r="B7" s="41" t="inlineStr">
        <is>
          <t>Fluid Rheology Measurements — Anton Paar MCR 302</t>
        </is>
      </c>
      <c r="C7" s="24" t="n"/>
      <c r="D7" s="41" t="inlineStr">
        <is>
          <t>Oscillatory rheometer measurements of 40% glycerol-water surrogate density and viscosity at 37°C; uncertainty ±0.5% for μ and ±0.2% for ρ; Carreau–Yasuda parameters verified against published rheograms for in vivo what-if runs</t>
        </is>
      </c>
      <c r="E7" s="33" t="n"/>
      <c r="F7" s="33" t="n"/>
    </row>
    <row r="8" ht="15" customHeight="1" s="18">
      <c r="A8" s="24" t="n"/>
      <c r="B8" s="24" t="n"/>
      <c r="C8" s="24" t="n"/>
      <c r="D8" s="33" t="n"/>
      <c r="E8" s="33" t="n"/>
      <c r="F8" s="33" t="n"/>
    </row>
    <row r="9" ht="15" customHeight="1" s="18">
      <c r="A9" s="24" t="n"/>
      <c r="B9" s="24" t="n"/>
      <c r="C9" s="24" t="n"/>
      <c r="D9" s="33" t="n"/>
      <c r="E9" s="33" t="n"/>
      <c r="F9" s="33" t="n"/>
    </row>
    <row r="10" ht="15" customHeight="1" s="18">
      <c r="A10" s="24" t="n"/>
      <c r="B10" s="24" t="n"/>
      <c r="C10" s="24" t="n"/>
      <c r="D10" s="33" t="n"/>
      <c r="E10" s="33" t="n"/>
      <c r="F10" s="33" t="n"/>
    </row>
    <row r="11" ht="15" customHeight="1" s="18">
      <c r="A11" s="24" t="n"/>
      <c r="B11" s="24" t="n"/>
      <c r="C11" s="24" t="n"/>
      <c r="D11" s="33" t="n"/>
      <c r="E11" s="33" t="n"/>
      <c r="F11" s="33" t="n"/>
    </row>
    <row r="12" ht="15" customHeight="1" s="18">
      <c r="A12" s="24" t="n"/>
      <c r="B12" s="24" t="n"/>
      <c r="C12" s="24" t="n"/>
      <c r="D12" s="33" t="n"/>
      <c r="E12" s="33" t="n"/>
      <c r="F12" s="33" t="n"/>
    </row>
    <row r="13" ht="15" customHeight="1" s="18">
      <c r="A13" s="24" t="n"/>
      <c r="B13" s="24" t="n"/>
      <c r="C13" s="24" t="n"/>
      <c r="D13" s="33" t="n"/>
      <c r="E13" s="33" t="n"/>
      <c r="F13" s="33" t="n"/>
    </row>
  </sheetData>
  <mergeCells count="1">
    <mergeCell ref="A1:F1"/>
  </mergeCells>
  <dataValidations count="1">
    <dataValidation sqref="A4:A13" showDropDown="0" showInputMessage="0" showErrorMessage="0" allowBlank="1" type="list" errorStyle="stop" operator="between">
      <formula1>list_entity_type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I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5" customWidth="1" style="17" min="1" max="1"/>
    <col width="35" customWidth="1" style="17" min="2" max="2"/>
    <col width="45" customWidth="1" style="17" min="3" max="3"/>
    <col width="35" customWidth="1" style="17" min="4" max="4"/>
    <col width="10" customWidth="1" style="17" min="5" max="5"/>
    <col width="30" customWidth="1" style="17" min="6" max="6"/>
    <col width="18" customWidth="1" style="17" min="7" max="7"/>
    <col width="14" customWidth="1" style="17" min="8" max="8"/>
  </cols>
  <sheetData>
    <row r="1" ht="30" customHeight="1" s="18">
      <c r="A1" s="19" t="inlineStr">
        <is>
          <t>Validation Results — What you found when you tested the model</t>
        </is>
      </c>
    </row>
    <row r="2" ht="15" customHeight="1" s="18">
      <c r="A2" s="20" t="inlineStr">
        <is>
          <t>Result Name</t>
        </is>
      </c>
      <c r="B2" s="20" t="inlineStr">
        <is>
          <t>Identifier / URI</t>
        </is>
      </c>
      <c r="C2" s="20" t="inlineStr">
        <is>
          <t>Description</t>
        </is>
      </c>
      <c r="D2" s="20" t="inlineStr">
        <is>
          <t>Compares To</t>
        </is>
      </c>
      <c r="E2" s="20" t="inlineStr">
        <is>
          <t>Has UQ?</t>
        </is>
      </c>
      <c r="F2" s="20" t="inlineStr">
        <is>
          <t>UQ Method</t>
        </is>
      </c>
      <c r="G2" s="20" t="inlineStr">
        <is>
          <t>Metric Value</t>
        </is>
      </c>
      <c r="H2" s="20" t="inlineStr">
        <is>
          <t>Pass / Fail</t>
        </is>
      </c>
    </row>
    <row r="3" ht="32.8" customHeight="1" s="18">
      <c r="A3" s="39" t="inlineStr">
        <is>
          <t>Velocity Field Comparison — CFD vs. TR-PIV</t>
        </is>
      </c>
      <c r="B3" s="39" t="inlineStr">
        <is>
          <t>ValidationResult</t>
        </is>
      </c>
      <c r="C3" s="22" t="inlineStr">
        <is>
          <t>What was done, what was found</t>
        </is>
      </c>
      <c r="D3" s="39" t="inlineStr">
        <is>
          <t>Normalized RMS difference in velocity profiles at 10 cross-sections compared between CFD (Pattern B, medium mesh, Δt=1.0 ms) and phase-averaged TR-PIV fields at peak and mean flow phases</t>
        </is>
      </c>
      <c r="E3" s="39" t="inlineStr">
        <is>
          <t>FlowLab LLC TR-PIV dataset FL-2026-042</t>
        </is>
      </c>
      <c r="F3" s="39" t="inlineStr">
        <is>
          <t>Yes</t>
        </is>
      </c>
      <c r="G3" s="39" t="inlineStr">
        <is>
          <t>PIV correlation peak ratio uncertainty (±3% velocity); CFD combined uncertainty ~8–10% RSS for TAWSS</t>
        </is>
      </c>
      <c r="H3" s="39" t="inlineStr">
        <is>
          <t>nRMSE 7.1% (peak flow), 9.3% (mean flow); bias −1.8% vs PIV; both within pre-specified targets of ≤10% and ≤12%</t>
        </is>
      </c>
      <c r="I3" s="42" t="inlineStr">
        <is>
          <t>Pass</t>
        </is>
      </c>
    </row>
    <row r="4" ht="15" customHeight="1" s="18">
      <c r="A4" s="41" t="inlineStr">
        <is>
          <t>Pressure Drop Comparison — CFD vs. Validyne DP45 Transducers</t>
        </is>
      </c>
      <c r="B4" s="41" t="inlineStr">
        <is>
          <t>ValidationResult</t>
        </is>
      </c>
      <c r="C4" s="33" t="n"/>
      <c r="D4" s="41" t="inlineStr">
        <is>
          <t>Pressure drop across the stented segment predicted by CFD compared against transducer measurements in the phantom experiment</t>
        </is>
      </c>
      <c r="E4" s="41" t="inlineStr">
        <is>
          <t>Validyne DP45 differential pressure transducer measurements</t>
        </is>
      </c>
      <c r="F4" s="41" t="inlineStr">
        <is>
          <t>Yes</t>
        </is>
      </c>
      <c r="G4" s="41" t="inlineStr">
        <is>
          <t>Acceptance target ±7%; measurement uncertainty from calibrated transducers</t>
        </is>
      </c>
      <c r="H4" s="41" t="inlineStr">
        <is>
          <t>CFD 3.2% higher than measured; within pre-specified ±7% target</t>
        </is>
      </c>
      <c r="I4" s="42" t="inlineStr">
        <is>
          <t>Pass</t>
        </is>
      </c>
    </row>
    <row r="5" ht="15" customHeight="1" s="18">
      <c r="A5" s="41" t="inlineStr">
        <is>
          <t>TAWSS Spatial Map Comparison — CFD vs. PIV-Derived</t>
        </is>
      </c>
      <c r="B5" s="41" t="inlineStr">
        <is>
          <t>ValidationResult</t>
        </is>
      </c>
      <c r="C5" s="33" t="n"/>
      <c r="D5" s="41" t="inlineStr">
        <is>
          <t>Spatial correlation and distributional comparison of time-averaged wall shear stress maps between CFD prediction and PIV-derived near-wall extrapolations over the stented segment</t>
        </is>
      </c>
      <c r="E5" s="41" t="inlineStr">
        <is>
          <t>PIV-derived TAWSS maps from FL-2026-042</t>
        </is>
      </c>
      <c r="F5" s="41" t="inlineStr">
        <is>
          <t>Yes</t>
        </is>
      </c>
      <c r="G5" s="41" t="inlineStr">
        <is>
          <t>Pearson r, Kolmogorov–Smirnov test, median difference; PIV near-wall gradient uncertainty 10–12%</t>
        </is>
      </c>
      <c r="H5" s="41" t="inlineStr">
        <is>
          <t>Pearson r = 0.89; median difference −6.4%; KS p = 0.21; hotspot co-location 93% within 0.2 mm</t>
        </is>
      </c>
      <c r="I5" s="42" t="inlineStr">
        <is>
          <t>Pass</t>
        </is>
      </c>
    </row>
    <row r="6" ht="15" customHeight="1" s="18">
      <c r="A6" s="41" t="inlineStr">
        <is>
          <t>OSI Spatial Map Comparison — CFD vs. PIV-Derived</t>
        </is>
      </c>
      <c r="B6" s="41" t="inlineStr">
        <is>
          <t>ValidationResult</t>
        </is>
      </c>
      <c r="C6" s="33" t="n"/>
      <c r="D6" s="41" t="inlineStr">
        <is>
          <t>Spatial correlation and distributional comparison of oscillatory shear index maps between CFD and PIV-derived values</t>
        </is>
      </c>
      <c r="E6" s="41" t="inlineStr">
        <is>
          <t>PIV-derived OSI maps from FL-2026-042</t>
        </is>
      </c>
      <c r="F6" s="41" t="inlineStr">
        <is>
          <t>Yes</t>
        </is>
      </c>
      <c r="G6" s="41" t="inlineStr">
        <is>
          <t>Pearson r, Kolmogorov–Smirnov test, median difference</t>
        </is>
      </c>
      <c r="H6" s="41" t="inlineStr">
        <is>
          <t>Pearson r = 0.86; median difference +4.9%; KS p = 0.18</t>
        </is>
      </c>
      <c r="I6" s="42" t="inlineStr">
        <is>
          <t>Pass</t>
        </is>
      </c>
    </row>
    <row r="7" ht="15" customHeight="1" s="18">
      <c r="A7" s="41" t="inlineStr">
        <is>
          <t>Mesh and Time-Step Refinement Study</t>
        </is>
      </c>
      <c r="B7" s="41" t="inlineStr">
        <is>
          <t>ValidationResult</t>
        </is>
      </c>
      <c r="C7" s="33" t="n"/>
      <c r="D7" s="41" t="inlineStr">
        <is>
          <t>Three-level mesh refinement (2.1M, 6.0M, 14.8M cells) and three-level time-step study (Δt = 2.0, 1.0, 0.5 ms) to quantify discretization error in pressure drop, TAWSS, and OSI95</t>
        </is>
      </c>
      <c r="E7" s="41" t="inlineStr">
        <is>
          <t>Richardson extrapolation and GCI analysis</t>
        </is>
      </c>
      <c r="F7" s="41" t="inlineStr">
        <is>
          <t>Yes</t>
        </is>
      </c>
      <c r="G7" s="41" t="inlineStr">
        <is>
          <t>Grid Convergence Index (GCI, factor of safety 1.25), Richardson extrapolation, observed-order calculation</t>
        </is>
      </c>
      <c r="H7" s="41" t="inlineStr">
        <is>
          <t>TAWSS GCI fine grid 3.8%; medium grid GCI 6.9%; OSI95 mesh variation 4.5%; time-step variation 2.1%; pressure drop Richardson bias 2.6%; observed order ~1.9</t>
        </is>
      </c>
      <c r="I7" s="42" t="inlineStr">
        <is>
          <t>Pass</t>
        </is>
      </c>
    </row>
    <row r="8" ht="15" customHeight="1" s="18">
      <c r="A8" s="41" t="inlineStr">
        <is>
          <t>Code Verification — Canonical Flow Tests</t>
        </is>
      </c>
      <c r="B8" s="41" t="inlineStr">
        <is>
          <t>ValidationResult</t>
        </is>
      </c>
      <c r="C8" s="33" t="n"/>
      <c r="D8" s="41" t="inlineStr">
        <is>
          <t>Verification of Ansys Fluent solver against analytical Poiseuille flow and lid-driven cavity benchmark prior to stent simulations</t>
        </is>
      </c>
      <c r="E8" s="41" t="inlineStr">
        <is>
          <t>Analytical parabolic velocity profile (Poiseuille); published lid-driven cavity benchmark at Re=1000</t>
        </is>
      </c>
      <c r="F8" s="41" t="inlineStr">
        <is>
          <t>Yes</t>
        </is>
      </c>
      <c r="G8" s="41" t="inlineStr">
        <is>
          <t>L2 norm error, observed order of convergence, deviation percentage</t>
        </is>
      </c>
      <c r="H8" s="41" t="inlineStr">
        <is>
          <t>Poiseuille L2 error &lt; 0.2%, observed order 1.98; lid-driven cavity centerline deviation &lt; 2.5%</t>
        </is>
      </c>
      <c r="I8" s="42" t="inlineStr">
        <is>
          <t>Pass</t>
        </is>
      </c>
    </row>
    <row r="9" ht="15" customHeight="1" s="18">
      <c r="A9" s="24" t="n"/>
      <c r="B9" s="24" t="n"/>
      <c r="C9" s="33" t="n"/>
      <c r="D9" s="33" t="n"/>
      <c r="E9" s="25" t="n"/>
      <c r="F9" s="33" t="n"/>
      <c r="G9" s="33" t="n"/>
      <c r="H9" s="33" t="n"/>
    </row>
    <row r="10" ht="15" customHeight="1" s="18">
      <c r="A10" s="24" t="n"/>
      <c r="B10" s="24" t="n"/>
      <c r="C10" s="33" t="n"/>
      <c r="D10" s="33" t="n"/>
      <c r="E10" s="25" t="n"/>
      <c r="F10" s="33" t="n"/>
      <c r="G10" s="33" t="n"/>
      <c r="H10" s="33" t="n"/>
    </row>
    <row r="11" ht="15" customHeight="1" s="18">
      <c r="A11" s="24" t="n"/>
      <c r="B11" s="24" t="n"/>
      <c r="C11" s="33" t="n"/>
      <c r="D11" s="33" t="n"/>
      <c r="E11" s="25" t="n"/>
      <c r="F11" s="33" t="n"/>
      <c r="G11" s="33" t="n"/>
      <c r="H11" s="33" t="n"/>
    </row>
    <row r="12" ht="15" customHeight="1" s="18">
      <c r="A12" s="24" t="n"/>
      <c r="B12" s="24" t="n"/>
      <c r="C12" s="33" t="n"/>
      <c r="D12" s="33" t="n"/>
      <c r="E12" s="25" t="n"/>
      <c r="F12" s="33" t="n"/>
      <c r="G12" s="33" t="n"/>
      <c r="H12" s="33" t="n"/>
    </row>
    <row r="13" ht="15" customHeight="1" s="18">
      <c r="A13" s="24" t="n"/>
      <c r="B13" s="24" t="n"/>
      <c r="C13" s="33" t="n"/>
      <c r="D13" s="33" t="n"/>
      <c r="E13" s="25" t="n"/>
      <c r="F13" s="33" t="n"/>
      <c r="G13" s="33" t="n"/>
      <c r="H13" s="33" t="n"/>
    </row>
  </sheetData>
  <mergeCells count="1">
    <mergeCell ref="A1:H1"/>
  </mergeCells>
  <dataValidations count="2">
    <dataValidation sqref="E4:E13" showDropDown="0" showInputMessage="0" showErrorMessage="0" allowBlank="1" type="list" errorStyle="stop" operator="between">
      <formula1>list_has_uq</formula1>
      <formula2>0</formula2>
    </dataValidation>
    <dataValidation sqref="H4:H13" showDropDown="0" showInputMessage="0" showErrorMessage="0" allowBlank="1" type="list" errorStyle="stop" operator="between">
      <formula1>list_pass_fail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1"/>
  </sheetPr>
  <dimension ref="A1:H17"/>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25" customWidth="1" style="17" min="2" max="2"/>
    <col width="16" customWidth="1" style="17" min="3" max="4"/>
    <col width="40" customWidth="1" style="17" min="5" max="5"/>
    <col width="12" customWidth="1" style="17" min="6" max="6"/>
    <col width="22" customWidth="1" style="18" min="8" max="8"/>
  </cols>
  <sheetData>
    <row r="1" ht="30" customHeight="1" s="18">
      <c r="A1" s="19" t="inlineStr">
        <is>
          <t>Credibility Factors — V&amp;V 40 Table 5-1 Assessment</t>
        </is>
      </c>
    </row>
    <row r="2" ht="30" customHeight="1" s="18">
      <c r="A2" s="34" t="inlineStr">
        <is>
          <t>Complete profile only. Assess each relevant factor: set Required Level (goal given model risk) and Achieved Level (what evidence supports).</t>
        </is>
      </c>
    </row>
    <row r="3" ht="15" customHeight="1" s="18">
      <c r="A3" s="20" t="inlineStr">
        <is>
          <t>Factor Type</t>
        </is>
      </c>
      <c r="B3" s="20" t="inlineStr">
        <is>
          <t>Category</t>
        </is>
      </c>
      <c r="C3" s="20" t="inlineStr">
        <is>
          <t>Required Level</t>
        </is>
      </c>
      <c r="D3" s="20" t="inlineStr">
        <is>
          <t>Achieved Level</t>
        </is>
      </c>
      <c r="E3" s="21" t="inlineStr">
        <is>
          <t>Acceptance Criteria</t>
        </is>
      </c>
      <c r="F3" s="20" t="inlineStr">
        <is>
          <t>Rationale</t>
        </is>
      </c>
      <c r="G3" s="20" t="inlineStr">
        <is>
          <t>Factor Status</t>
        </is>
      </c>
      <c r="H3" s="37" t="inlineStr">
        <is>
          <t>Linked Evidence</t>
        </is>
      </c>
    </row>
    <row r="4" ht="22.35" customHeight="1" s="18">
      <c r="A4" s="22" t="inlineStr">
        <is>
          <t>V&amp;V 40 factor (pre-filled, do not edit)</t>
        </is>
      </c>
      <c r="B4" s="22" t="inlineStr">
        <is>
          <t>Grouping (pre-filled)</t>
        </is>
      </c>
      <c r="C4" s="22" t="inlineStr">
        <is>
          <t>Credibility goal for this factor (1-5)</t>
        </is>
      </c>
      <c r="D4" s="22" t="inlineStr">
        <is>
          <t>Level achieved by evidence (1-5)</t>
        </is>
      </c>
      <c r="E4" s="23" t="inlineStr">
        <is>
          <t>Goal and basis for the required level (from V&amp;V 40 Tables 3-4)</t>
        </is>
      </c>
      <c r="F4" s="22" t="inlineStr">
        <is>
          <t>Brief justification (esp. if achieved &lt; required)</t>
        </is>
      </c>
      <c r="G4" s="22" t="inlineStr">
        <is>
          <t>assessed / not-assessed / scoped-out / not-applicable</t>
        </is>
      </c>
      <c r="H4" s="38" t="inlineStr">
        <is>
          <t>URI of validation result that supports this factor (optional)</t>
        </is>
      </c>
    </row>
    <row r="5" ht="15" customHeight="1" s="18">
      <c r="A5" s="35" t="inlineStr">
        <is>
          <t>Software quality assurance</t>
        </is>
      </c>
      <c r="B5" s="36" t="inlineStr">
        <is>
          <t>Verification — Code</t>
        </is>
      </c>
      <c r="C5" s="41" t="n">
        <v>3</v>
      </c>
      <c r="D5" s="41" t="n">
        <v>4</v>
      </c>
      <c r="E5" s="42" t="inlineStr">
        <is>
          <t>Commercial solver with documented QA; version-controlled case files; analyst qualifications documented</t>
        </is>
      </c>
      <c r="F5" s="41" t="inlineStr">
        <is>
          <t>Ansys Fluent 2024 R1 (commercial, double precision) used with documented solver build ID recorded in run log. All case/journal files tracked in Git LFS with SHA-256 hashes; mesh and data files archived to corporate vault tagged cd-stentB-v37. Python post-processing scripts have 88% pytest coverage and were validated on synthetic datasets. Analysts hold 6–12 years cardiovascular CFD experience with documented QA curriculum refresher (April 2026). Two-step peer review including cold-eye numerical review performed. Pre-departure/arrival checklists for each run. Bitwise-identical results confirmed on independent hardware node.</t>
        </is>
      </c>
      <c r="G5" s="41" t="inlineStr">
        <is>
          <t>assessed</t>
        </is>
      </c>
    </row>
    <row r="6" ht="15" customHeight="1" s="18">
      <c r="A6" s="36" t="inlineStr">
        <is>
          <t>Numerical code verification</t>
        </is>
      </c>
      <c r="B6" s="36" t="inlineStr">
        <is>
          <t>Verification — Code</t>
        </is>
      </c>
      <c r="C6" s="41" t="n">
        <v>3</v>
      </c>
      <c r="D6" s="41" t="n">
        <v>4</v>
      </c>
      <c r="E6" s="42" t="inlineStr">
        <is>
          <t>Demonstration of correct equation solving against analytical or benchmark solutions with quantified convergence order</t>
        </is>
      </c>
      <c r="F6" s="41" t="inlineStr">
        <is>
          <t>Two canonical verification tests executed prior to stent cases: (1) 3D Poiseuille pipe flow recovered parabolic velocity with L2 error &lt; 0.2% on 50k-cell mesh and second-order convergence confirmed (observed order 1.98); (2) 3D lid-driven cavity at Re=1000 compared against published benchmark with deviation &lt; 2.5% on 1.2M polyhedral cells with expected convergence trend. Both confirm second-order spatial accuracy of the solver for laminar incompressible flow.</t>
        </is>
      </c>
      <c r="G6" s="41" t="inlineStr">
        <is>
          <t>assessed</t>
        </is>
      </c>
    </row>
    <row r="7" ht="15" customHeight="1" s="18">
      <c r="A7" s="35" t="inlineStr">
        <is>
          <t>Discretization error</t>
        </is>
      </c>
      <c r="B7" s="36" t="inlineStr">
        <is>
          <t>Verification — Calculation</t>
        </is>
      </c>
      <c r="C7" s="41" t="n">
        <v>3</v>
      </c>
      <c r="D7" s="41" t="n">
        <v>4</v>
      </c>
      <c r="E7" s="42" t="inlineStr">
        <is>
          <t>Mesh and time-step convergence demonstrated with quantified GCI; residual discretization error small relative to design differences</t>
        </is>
      </c>
      <c r="F7" s="41" t="inlineStr">
        <is>
          <t>Three-level mesh refinement (2.1M, 6.0M, 14.8M cells) and three-level time-step study (2.0, 1.0, 0.5 ms) performed. GCI computed with factor of safety 1.25: TAWSS fine-grid GCI 3.8%, medium-grid GCI 6.9%. OSI95 mesh variation 4.5%, time-step variation 2.1%. Pressure drop Richardson bias 2.6% at peak flow. Observed spatial order ~1.9, consistent with second-order scheme. Periodicity confirmed (cycle-to-cycle WSS change &lt; 0.3%). Local hotspot peak shear changes &lt; 6% between medium and fine grids. Discretization errors are small relative to design-to-design differences (ΔTAWSS ~12%).</t>
        </is>
      </c>
      <c r="G7" s="41" t="inlineStr">
        <is>
          <t>assessed</t>
        </is>
      </c>
    </row>
    <row r="8" ht="15" customHeight="1" s="18">
      <c r="A8" s="36" t="inlineStr">
        <is>
          <t>Numerical solver error</t>
        </is>
      </c>
      <c r="B8" s="36" t="inlineStr">
        <is>
          <t>Verification — Calculation</t>
        </is>
      </c>
      <c r="C8" s="41" t="n">
        <v>3</v>
      </c>
      <c r="D8" s="41" t="n">
        <v>4</v>
      </c>
      <c r="E8" s="42" t="inlineStr">
        <is>
          <t>Convergence criteria defined and met each time step; mass conservation demonstrated</t>
        </is>
      </c>
      <c r="F8" s="41" t="inlineStr">
        <is>
          <t>Scaled residuals required below 1×10⁻⁶ each time step for all equations. Mass imbalance required below 0.1% per time step. Monitor points (bulk flow, pressure drop, area-averaged WSS) required steady to within 0.5% between time steps. All criteria documented in run log. Periodicity confirmed over last two of eight simulated cardiac cycles. Pressure–velocity coupling via coupled solver with pseudo-transient continuation. Solver convergence explicitly monitored and documented.</t>
        </is>
      </c>
      <c r="G8" s="41" t="inlineStr">
        <is>
          <t>assessed</t>
        </is>
      </c>
    </row>
    <row r="9" ht="15" customHeight="1" s="18">
      <c r="A9" s="36" t="inlineStr">
        <is>
          <t>Use error</t>
        </is>
      </c>
      <c r="B9" s="36" t="inlineStr">
        <is>
          <t>Verification — Calculation</t>
        </is>
      </c>
      <c r="C9" s="41" t="n">
        <v>3</v>
      </c>
      <c r="D9" s="41" t="n">
        <v>4</v>
      </c>
      <c r="E9" s="42" t="inlineStr">
        <is>
          <t>Independent reproduction of results; boundary condition verification; mesh quality confirmation; peer review documented</t>
        </is>
      </c>
      <c r="F9" s="41" t="inlineStr">
        <is>
          <t>Independent analysts (JD and ML) reproduced baseline Pattern B run on the same mesh and BCs; key outputs matched within 0.8%. Pre-departure and arrival checklists verified units, BC alignment, and mesh quality metrics (skewness &lt; 0.85, aspect ratio &lt; 50 in prisms, orthogonality &gt; 0.2) for each run. Mesh quality histograms and y+ maps documented in Appendix A. Two-step peer review: midstream review after mesh/time studies and final sign-off with cold-eye review from independent aero team analyst. Inlet tracking error ≤1% RMS confirmed. Solver settings templated in version-controlled journal files to prevent inter-analyst drift.</t>
        </is>
      </c>
      <c r="G9" s="41" t="inlineStr">
        <is>
          <t>assessed</t>
        </is>
      </c>
    </row>
    <row r="10" ht="15" customHeight="1" s="18">
      <c r="A10" s="35" t="inlineStr">
        <is>
          <t>Model form</t>
        </is>
      </c>
      <c r="B10" s="36" t="inlineStr">
        <is>
          <t>Validation — Model</t>
        </is>
      </c>
      <c r="C10" s="41" t="n">
        <v>3</v>
      </c>
      <c r="D10" s="41" t="n">
        <v>3</v>
      </c>
      <c r="E10" s="42" t="inlineStr">
        <is>
          <t>Governing equations justified for flow regime; key assumptions documented and bounded; turbulence/rheology model selection rationale provided</t>
        </is>
      </c>
      <c r="F10" s="41" t="inlineStr">
        <is>
          <t>Incompressible Navier–Stokes with laminar solver justified by Re ≈ 350 (below laminar-turbulent threshold) and PIV spectra showing TKE &lt; 0.002 m²/s² with no broadband energy cascade. Laminar vs. SST k–ω comparison at peak flow showed TAWSS difference 5.6%, OSI95 difference 1.8%, with laminar model showing better agreement with PIV. Rigid-wall assumption bounded: 1D elastic tube model estimates &lt; 5% WSS modulation; supported by Morbiducci 2009 literature for Re &lt; 500. Newtonian assumption exact for bench glycerol-water fluid. Carreau–Yasuda model verified against published rheograms for in vivo what-if runs. Known limitations (patient-specific compliance, surface roughness, out-of-plane flows) explicitly documented in Section 14.</t>
        </is>
      </c>
      <c r="G10" s="41" t="inlineStr">
        <is>
          <t>assessed</t>
        </is>
      </c>
    </row>
    <row r="11" ht="15" customHeight="1" s="18">
      <c r="A11" s="36" t="inlineStr">
        <is>
          <t>Model inputs</t>
        </is>
      </c>
      <c r="B11" s="36" t="inlineStr">
        <is>
          <t>Validation — Model</t>
        </is>
      </c>
      <c r="C11" s="41" t="n">
        <v>3</v>
      </c>
      <c r="D11" s="41" t="n">
        <v>4</v>
      </c>
      <c r="E11" s="42" t="inlineStr">
        <is>
          <t>Material properties from measurement with uncertainty; geometry from metrology with quantified deviation; inlet BC from measured waveform</t>
        </is>
      </c>
      <c r="F11" s="41" t="inlineStr">
        <is>
          <t>Fluid density and viscosity measured by oscillatory rheometer (Anton Paar MCR 302) with uncertainty ±0.5% (μ) and ±0.2% (ρ) at 37°C. Geometry from micro-CT at 10 μm voxel size; metrology comparison of triangulated surface to raw point cloud gives 95th-percentile deviation 8 μm, maximum 22 μm. Inlet volumetric flow waveform from Transonic TS410 pump sampled at 200 Hz with 1% RMS tracking error. Outlet pressure tuned to match measured mean pressure drop within 2%. All case/journal files version-controlled; key settings templated. Inlet turbulence intensity sensitivity tested. Stent positioning tolerances (±10 μm radial, ±2° rotation) propagated through sensitivity analysis.</t>
        </is>
      </c>
      <c r="G11" s="41" t="inlineStr">
        <is>
          <t>assessed</t>
        </is>
      </c>
    </row>
    <row r="12" ht="15" customHeight="1" s="18">
      <c r="A12" s="35" t="inlineStr">
        <is>
          <t>Test samples</t>
        </is>
      </c>
      <c r="B12" s="36" t="inlineStr">
        <is>
          <t>Validation — Comparator</t>
        </is>
      </c>
      <c r="C12" s="41" t="n">
        <v>3</v>
      </c>
      <c r="D12" s="41" t="n">
        <v>3</v>
      </c>
      <c r="E12" s="42" t="inlineStr">
        <is>
          <t>Experimental test article is representative of device geometry; phantom manufacturing quality documented</t>
        </is>
      </c>
      <c r="F12" s="41" t="inlineStr">
        <is>
          <t>Single silicone phantom of representative 3.0 mm mildly curved coronary geometry (curvature radius 30 mm, 5% oversizing) manufactured and tested by independent FlowLab LLC. Phantom geometry verified against micro-CT scan used for CFD domain. Stent B deployed with as-built strut positions captured via micro-CT after deployment. No ensemble of multiple phantom specimens reported; single representative phantom used. Phantom represents mid-LAD anatomy but not patient-specific variation. No statistical characterization across multiple samples. Adequate for design-ranking and bench-comparison purpose given single-geometry COU.</t>
        </is>
      </c>
      <c r="G12" s="41" t="inlineStr">
        <is>
          <t>assessed</t>
        </is>
      </c>
    </row>
    <row r="13" ht="15" customHeight="1" s="18">
      <c r="A13" s="36" t="inlineStr">
        <is>
          <t>Test conditions</t>
        </is>
      </c>
      <c r="B13" s="36" t="inlineStr">
        <is>
          <t>Validation — Comparator</t>
        </is>
      </c>
      <c r="C13" s="41" t="n">
        <v>3</v>
      </c>
      <c r="D13" s="41" t="n">
        <v>4</v>
      </c>
      <c r="E13" s="42" t="inlineStr">
        <is>
          <t>Calibrated instrumentation; controlled environment; quantified measurement uncertainty; flow conditions well-characterized</t>
        </is>
      </c>
      <c r="F13" s="41" t="inlineStr">
        <is>
          <t>TR-PIV acquired by independent FlowLab LLC at 500 fps with phase-locked acquisition to pump signal. Calibration plate with 10 μm dot spacing; calibration residuals &lt; 0.1 pixel. Refractive index matched to 1.413 to minimize wall reflections (residual glare &lt; 2% wall length, masked). Velocity uncertainty ±3% assessed via correlation peak ratio method. Near-wall shear proxy uncertainty 10–12% from least-squares fit in first 150 μm. Temperature controlled within ±0.5°C. Pressure drop measured with Validyne DP45 transducers. Pump trace recorded at 200 Hz (Transonic TS410). PIV data archived as HDF5 with ISA-Tab metadata manifest. Spatial resolution 32 μm per vector. Registration fiducial markers with RMS alignment error 35 μm.</t>
        </is>
      </c>
      <c r="G13" s="41" t="inlineStr">
        <is>
          <t>assessed</t>
        </is>
      </c>
    </row>
    <row r="14" ht="15" customHeight="1" s="18">
      <c r="A14" s="35" t="inlineStr">
        <is>
          <t>Equivalency of input parameters</t>
        </is>
      </c>
      <c r="B14" s="36" t="inlineStr">
        <is>
          <t>Validation — Assessment</t>
        </is>
      </c>
      <c r="C14" s="41" t="n">
        <v>3</v>
      </c>
      <c r="D14" s="41" t="n">
        <v>4</v>
      </c>
      <c r="E14" s="42" t="inlineStr">
        <is>
          <t>CFD boundary conditions demonstrably match experimental conditions; input parameter comparison documented; uncertainty propagated</t>
        </is>
      </c>
      <c r="F14" s="41" t="inlineStr">
        <is>
          <t>Inlet BC prescribed from the actual measured pump trace (Transonic TS410, 200 Hz sampling) with 1% RMS tracking error. Outlet pressure tuned to match measured mean pressure drop within 2%. Fluid properties match bench glycerol-water surrogate by construction (same fluid; measured properties used). Geometry derived from micro-CT of the same phantom used in PIV (surface deviation quantified to 8 μm 95th percentile). Temperature equivalency maintained within ±0.5°C in both CFD (isothermal 37°C) and experiment. Fiducial-based spatial registration with 35 μm RMS alignment error documented. Regions of low PIV confidence (&lt; 0.6) excluded from both datasets for fair comparison. Input uncertainty propagated through sensitivity analysis with RSS combination yielding ~8–10% total CFD uncertainty on TAWSS.</t>
        </is>
      </c>
      <c r="G14" s="41" t="inlineStr">
        <is>
          <t>assessed</t>
        </is>
      </c>
    </row>
    <row r="15" ht="15" customHeight="1" s="18">
      <c r="A15" s="36" t="inlineStr">
        <is>
          <t>Output comparison</t>
        </is>
      </c>
      <c r="B15" s="36" t="inlineStr">
        <is>
          <t>Validation — Assessment</t>
        </is>
      </c>
      <c r="C15" s="41" t="n">
        <v>3</v>
      </c>
      <c r="D15" s="41" t="n">
        <v>4</v>
      </c>
      <c r="E15" s="42" t="inlineStr">
        <is>
          <t>Pre-specified quantitative acceptance criteria; multiple comparison metrics; statistical validation; uncertainties included in comparison</t>
        </is>
      </c>
      <c r="F15" s="41" t="inlineStr">
        <is>
          <t>Pre-specified comparison targets defined at project kickoff and reviewed by device safety board. Multiple metrics reported: velocity nRMSE 7.1% (peak)/9.3% (mean) vs. targets ≤10%/≤12%; pressure drop 3.2% vs. target ≤7%; TAWSS Pearson r = 0.89 vs. target ≥0.85, median difference −6.4% vs. target &lt;15%, KS p = 0.21 vs. target &gt;0.1; OSI Pearson r = 0.86, median difference +4.9%, KS p = 0.18; hotspot co-location 93% within 0.2 mm. All targets met with margin. CFD uncertainty (~8–10%) and PIV uncertainty (3–12%) explicitly quantified and combined to confirm experiment–model discrepancies fall within combined uncertainty. Design-to-design differences (10–14% TAWSS reduction for B vs. A) confirmed to exceed summed uncertainties. Bias of −1.8% in velocity noted.</t>
        </is>
      </c>
      <c r="G15" s="41" t="inlineStr">
        <is>
          <t>assessed</t>
        </is>
      </c>
    </row>
    <row r="16" ht="15" customHeight="1" s="18">
      <c r="A16" s="35" t="inlineStr">
        <is>
          <t>Relevance of the quantities of interest</t>
        </is>
      </c>
      <c r="B16" s="36" t="inlineStr">
        <is>
          <t>Applicability</t>
        </is>
      </c>
      <c r="C16" s="41" t="n">
        <v>3</v>
      </c>
      <c r="D16" s="41" t="n">
        <v>4</v>
      </c>
      <c r="E16" s="42" t="inlineStr">
        <is>
          <t>QoIs directly relate to neointimal hyperplasia risk; measurable both computationally and experimentally</t>
        </is>
      </c>
      <c r="F16" s="41" t="inlineStr">
        <is>
          <t>TAWSS and OSI95 are established hemodynamic correlates of neointimal hyperplasia and stent thrombosis risk cited in the stent biomechanics literature (Augst et al. 2004 referenced). These QoIs are directly measurable from both CFD (area-integrated from wall face data) and PIV experiment (extrapolated near-wall velocity gradients). Area-averaged TAWSS, OSI spatial maps, and low-TAWSS area fraction (TAWSS &lt; 0.4 Pa) are computed consistently in both. The decision criterion (ranking of three patterns and acceptability of Pattern B) is directly operationalized through these QoIs. Velocity field and pressure drop serve as secondary validation QoIs confirming flow physics fidelity.</t>
        </is>
      </c>
      <c r="G16" s="41" t="inlineStr">
        <is>
          <t>assessed</t>
        </is>
      </c>
    </row>
    <row r="17" ht="15" customHeight="1" s="18">
      <c r="A17" s="36" t="inlineStr">
        <is>
          <t>Relevance of the validation activities to the COU</t>
        </is>
      </c>
      <c r="B17" s="36" t="inlineStr">
        <is>
          <t>Applicability</t>
        </is>
      </c>
      <c r="C17" s="41" t="n">
        <v>3</v>
      </c>
      <c r="D17" s="41" t="n">
        <v>3</v>
      </c>
      <c r="E17" s="42" t="inlineStr">
        <is>
          <t>Validation conditions match intended use geometry, flow regime, and fluid; gaps to in vivo deployment identified and bounded</t>
        </is>
      </c>
      <c r="F17" s="41" t="inlineStr">
        <is>
          <t>Validation performed in the same 3.0 mm phantom, same pulsatile flow regime (Re ≈ 350, Wo 1.6–2.3), same glycerol-water surrogate, and same stent geometry as the COU. Applicability bounds explicitly stated: strut width 70–90 μm, pitch ±15% of Pattern B, curvature radii 25–50 mm, mean flow 50–90 mL/min, HR 60–90 bpm. Known gaps documented: rigid phantom vs. in vivo compliance (bounded &lt; 5% effect), Newtonian surrogate vs. in vivo blood rheology (Carreau–Yasuda sensitivity: TAWSS −4.1% in wakes), patient-specific anatomy not represented, out-of-plane PIV limitation noted. A single representative phantom used rather than a range of anatomies. Validation directly supports the design-ranking and acceptability decision rather than a clinical endpoint claim.</t>
        </is>
      </c>
      <c r="G17" s="41" t="inlineStr">
        <is>
          <t>assessed</t>
        </is>
      </c>
    </row>
  </sheetData>
  <mergeCells count="2">
    <mergeCell ref="A2:F2"/>
    <mergeCell ref="A1:F1"/>
  </mergeCells>
  <dataValidations count="2">
    <dataValidation sqref="C5:D17" showDropDown="0" showInputMessage="0" showErrorMessage="0" allowBlank="1" type="list" errorStyle="stop" operator="between">
      <formula1>list_factor_level</formula1>
      <formula2>0</formula2>
    </dataValidation>
    <dataValidation sqref="F5:F17" showDropDown="0" showInputMessage="0" showErrorMessage="0" allowBlank="1" type="list" errorStyle="stop" operator="between">
      <formula1>list_assessed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E4"/>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60" customWidth="1" style="17" min="2" max="2"/>
    <col width="22" customWidth="1" style="17" min="3" max="3"/>
    <col width="25" customWidth="1" style="17" min="4" max="4"/>
    <col width="16" customWidth="1" style="17" min="5" max="5"/>
  </cols>
  <sheetData>
    <row r="1" ht="30" customHeight="1" s="18">
      <c r="A1" s="19" t="inlineStr">
        <is>
          <t>Decision — The credibility judgment</t>
        </is>
      </c>
    </row>
    <row r="2" ht="15" customHeight="1" s="18">
      <c r="A2" s="20" t="inlineStr">
        <is>
          <t>Decision Outcome</t>
        </is>
      </c>
      <c r="B2" s="20" t="inlineStr">
        <is>
          <t>Decision Rationale</t>
        </is>
      </c>
      <c r="C2" s="20" t="inlineStr">
        <is>
          <t>Criteria Set</t>
        </is>
      </c>
      <c r="D2" s="20" t="inlineStr">
        <is>
          <t>Decided By</t>
        </is>
      </c>
      <c r="E2" s="20" t="inlineStr">
        <is>
          <t>Decision Date</t>
        </is>
      </c>
    </row>
    <row r="3" ht="22.35" customHeight="1" s="18">
      <c r="A3" s="39" t="inlineStr">
        <is>
          <t>Accepted</t>
        </is>
      </c>
      <c r="B3" s="39" t="inlineStr">
        <is>
          <t>All pre-specified quantitative acceptance criteria for velocity field, pressure drop, TAWSS, and OSI comparisons between CFD and independent TR-PIV measurements were met with margin. Numerical uncertainties (GCI 3.8% for TAWSS on fine grid, mesh-induced OSI variation 4.5%) are small relative to design-to-design differences (10–14% TAWSS reduction Pattern B vs. A), supporting a robust and reliable design ranking. Input pedigree is well-characterized with quantified uncertainties. Key physical assumptions (laminar flow, rigid walls) are justified and their residual effects bounded. The model is accepted for the stated COU — ranking candidate coronary stent geometries and confirming Pattern B hemodynamic acceptability prior to tool-up — within the declared applicability limits (strut width 70–90 μm, curvature radius 25–50 mm, mean flow 50–90 mL/min, HR 60–90 bpm). Open items (rigid-wall FSI follow-on for highly compliant vessels, stereo-PIV for 3D secondary flows, micro-PIV for near-wall shear) are identified as future improvements and do not preclude acceptance at the current design phase given the moderate model risk level and the presence of parallel bench, animal, and clinical test gatekeepers.</t>
        </is>
      </c>
      <c r="C3" s="22" t="inlineStr">
        <is>
          <t>Auto-filled from Assessment Summary</t>
        </is>
      </c>
      <c r="D3" s="39" t="inlineStr">
        <is>
          <t>Fluids Group, CardioDesign R&amp;D (device safety board review of acceptance targets)</t>
        </is>
      </c>
      <c r="E3" s="39" t="inlineStr">
        <is>
          <t>2026-08-05</t>
        </is>
      </c>
    </row>
    <row r="4" ht="15" customHeight="1" s="18">
      <c r="A4" s="24" t="n"/>
      <c r="B4" s="24" t="n"/>
      <c r="C4" s="25">
        <f>'Assessment Summary'!H4</f>
        <v/>
      </c>
      <c r="D4" s="25" t="n"/>
      <c r="E4" s="33" t="n"/>
    </row>
  </sheetData>
  <mergeCells count="1">
    <mergeCell ref="A1:E1"/>
  </mergeCells>
  <dataValidations count="1">
    <dataValidation sqref="A4" showDropDown="0" showInputMessage="0" showErrorMessage="0" allowBlank="0" error="Select Accepted, Not accepted, or Conditional" type="list" errorStyle="stop" operator="between">
      <formula1>list_decision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2026-03-31T17:48:36Z</dcterms:created>
  <dcterms:modified xmlns:dcterms="http://purl.org/dc/terms/" xmlns:xsi="http://www.w3.org/2001/XMLSchema-instance" xsi:type="dcterms:W3CDTF">2026-08-06T05:44:00Z</dcterms:modified>
  <cp:revision>0</cp:revision>
</cp:coreProperties>
</file>