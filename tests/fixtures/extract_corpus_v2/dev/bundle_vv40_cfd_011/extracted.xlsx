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Assessment Summary" sheetId="1" state="visible" r:id="rId1"/>
    <sheet xmlns:r="http://schemas.openxmlformats.org/officeDocument/2006/relationships" name="Instructions" sheetId="2" state="visible" r:id="rId2"/>
    <sheet xmlns:r="http://schemas.openxmlformats.org/officeDocument/2006/relationships" name="_Lists" sheetId="3" state="hidden" r:id="rId3"/>
    <sheet xmlns:r="http://schemas.openxmlformats.org/officeDocument/2006/relationships" name="Model &amp; Data" sheetId="4" state="visible" r:id="rId4"/>
    <sheet xmlns:r="http://schemas.openxmlformats.org/officeDocument/2006/relationships" name="Validation Results" sheetId="5" state="visible" r:id="rId5"/>
    <sheet xmlns:r="http://schemas.openxmlformats.org/officeDocument/2006/relationships" name="Credibility Factors" sheetId="6" state="visible" r:id="rId6"/>
    <sheet xmlns:r="http://schemas.openxmlformats.org/officeDocument/2006/relationships" name="Decision" sheetId="7" state="visible" r:id="rId7"/>
  </sheets>
  <definedNames>
    <definedName name="list_assessed" hidden="0" function="0" vbProcedure="0">_Lists!$J$2:$J$4</definedName>
    <definedName name="list_assurance" hidden="0" function="0" vbProcedure="0">_Lists!$D$2:$D$4</definedName>
    <definedName name="list_decision" hidden="0" function="0" vbProcedure="0">_Lists!$K$2:$K$4</definedName>
    <definedName name="list_device_class" hidden="0" function="0" vbProcedure="0">_Lists!$B$2:$B$10</definedName>
    <definedName name="list_entity_type" hidden="0" function="0" vbProcedure="0">_Lists!$F$2:$F$4</definedName>
    <definedName name="list_factor_level" hidden="0" function="0" vbProcedure="0">_Lists!$I$2:$I$5</definedName>
    <definedName name="list_has_uq" hidden="0" function="0" vbProcedure="0">_Lists!$G$2:$G$3</definedName>
    <definedName name="list_mrl" hidden="0" function="0" vbProcedure="0">_Lists!$C$2:$C$6</definedName>
    <definedName name="list_pass_fail" hidden="0" function="0" vbProcedure="0">_Lists!$H$2:$H$5</definedName>
    <definedName name="list_profile" hidden="0" function="0" vbProcedure="0">_Lists!$A$2:$A$3</definedName>
    <definedName name="list_standards" hidden="0" function="0" vbProcedure="0">_Lists!$E$2:$E$5</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1B4F72"/>
      <sz val="14"/>
    </font>
    <font>
      <name val="Arial"/>
      <charset val="1"/>
      <family val="0"/>
      <b val="1"/>
      <color rgb="FFFFFFFF"/>
      <sz val="10"/>
    </font>
    <font>
      <name val="Arial"/>
      <charset val="1"/>
      <family val="0"/>
      <i val="1"/>
      <color rgb="FF666666"/>
      <sz val="9"/>
    </font>
    <font>
      <name val="Arial"/>
      <charset val="1"/>
      <family val="0"/>
      <sz val="10"/>
    </font>
    <font>
      <name val="Arial"/>
      <charset val="1"/>
      <family val="0"/>
      <b val="1"/>
      <sz val="9"/>
    </font>
    <font>
      <name val="Arial"/>
      <charset val="1"/>
      <family val="0"/>
      <sz val="9"/>
    </font>
    <font>
      <name val="Arial"/>
      <charset val="1"/>
      <family val="0"/>
      <b val="1"/>
      <color rgb="FF1B4F72"/>
      <sz val="10"/>
    </font>
    <font>
      <name val="Cambria"/>
      <charset val="1"/>
      <family val="0"/>
      <b val="1"/>
      <sz val="11"/>
    </font>
    <font>
      <name val="Arial"/>
      <charset val="1"/>
      <family val="0"/>
      <i val="1"/>
      <color rgb="FF555555"/>
      <sz val="10"/>
    </font>
    <font>
      <name val="Arial"/>
      <charset val="1"/>
      <family val="0"/>
      <b val="1"/>
      <sz val="10"/>
    </font>
    <font>
      <name val="Arial"/>
      <b val="1"/>
      <color rgb="00FFFFFF"/>
      <sz val="10"/>
    </font>
    <font>
      <name val="Arial"/>
      <color rgb="00666666"/>
      <sz val="9"/>
    </font>
  </fonts>
  <fills count="10">
    <fill>
      <patternFill/>
    </fill>
    <fill>
      <patternFill patternType="gray125"/>
    </fill>
    <fill>
      <patternFill patternType="solid">
        <fgColor rgb="FF1B4F72"/>
        <bgColor rgb="FF333399"/>
      </patternFill>
    </fill>
    <fill>
      <patternFill patternType="solid">
        <fgColor rgb="FFF2F3F4"/>
        <bgColor rgb="FFFFFFFF"/>
      </patternFill>
    </fill>
    <fill>
      <patternFill patternType="solid">
        <fgColor rgb="FFD6EAF8"/>
        <bgColor rgb="FFD5F5E3"/>
      </patternFill>
    </fill>
    <fill>
      <patternFill patternType="solid">
        <fgColor rgb="FFD5F5E3"/>
        <bgColor rgb="FFD6EAF8"/>
      </patternFill>
    </fill>
    <fill>
      <patternFill patternType="solid">
        <fgColor rgb="FFFFFFFF"/>
        <bgColor rgb="FFF2F3F4"/>
      </patternFill>
    </fill>
    <fill>
      <patternFill patternType="solid">
        <fgColor rgb="001B4F72"/>
      </patternFill>
    </fill>
    <fill>
      <patternFill patternType="solid">
        <fgColor rgb="00F2F3F4"/>
      </patternFill>
    </fill>
    <fill>
      <patternFill patternType="solid">
        <fgColor rgb="00FFEB9C"/>
        <bgColor rgb="00FFEB9C"/>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00CCCCCC"/>
      </left>
      <right style="thin">
        <color rgb="00CCCCCC"/>
      </right>
      <top style="thin">
        <color rgb="00CCCCCC"/>
      </top>
      <bottom style="thin">
        <color rgb="00CCCCCC"/>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3">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1" applyAlignment="1" pivotButton="0" quotePrefix="0" xfId="0">
      <alignment horizontal="center" vertical="center" wrapText="1"/>
    </xf>
    <xf numFmtId="0" fontId="6" fillId="3" borderId="1" applyAlignment="1" pivotButton="0" quotePrefix="0" xfId="0">
      <alignment horizontal="general" vertical="top" wrapText="1"/>
    </xf>
    <xf numFmtId="0" fontId="7" fillId="4" borderId="1" applyAlignment="1" pivotButton="0" quotePrefix="0" xfId="0">
      <alignment horizontal="general" vertical="top" wrapText="1"/>
    </xf>
    <xf numFmtId="0" fontId="7" fillId="5" borderId="1" applyAlignment="1" pivotButton="0" quotePrefix="0" xfId="0">
      <alignment horizontal="general" vertical="top" wrapText="1"/>
    </xf>
    <xf numFmtId="0" fontId="8" fillId="0" borderId="0" applyAlignment="1" pivotButton="0" quotePrefix="0" xfId="0">
      <alignment horizontal="general" vertical="bottom"/>
    </xf>
    <xf numFmtId="0" fontId="9" fillId="4" borderId="0" applyAlignment="1" pivotButton="0" quotePrefix="0" xfId="0">
      <alignment horizontal="general" vertical="bottom"/>
    </xf>
    <xf numFmtId="0" fontId="9" fillId="5"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7" fillId="0" borderId="0" applyAlignment="1" pivotButton="0" quotePrefix="0" xfId="0">
      <alignment horizontal="general" vertical="bottom" wrapText="1"/>
    </xf>
    <xf numFmtId="0" fontId="11" fillId="0" borderId="0" applyAlignment="1" pivotButton="0" quotePrefix="0" xfId="0">
      <alignment horizontal="general" vertical="bottom"/>
    </xf>
    <xf numFmtId="0" fontId="7" fillId="6" borderId="1" applyAlignment="1" pivotButton="0" quotePrefix="0" xfId="0">
      <alignment horizontal="general" vertical="top" wrapText="1"/>
    </xf>
    <xf numFmtId="0" fontId="12" fillId="0" borderId="0" applyAlignment="1" pivotButton="0" quotePrefix="0" xfId="0">
      <alignment horizontal="general" vertical="bottom" wrapText="1"/>
    </xf>
    <xf numFmtId="0" fontId="13" fillId="3" borderId="1" applyAlignment="1" pivotButton="0" quotePrefix="0" xfId="0">
      <alignment horizontal="general" vertical="top" wrapText="1"/>
    </xf>
    <xf numFmtId="0" fontId="7" fillId="3"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2" borderId="1" applyAlignment="1" pivotButton="0" quotePrefix="0" xfId="0">
      <alignment horizontal="center" vertical="center" wrapText="1"/>
    </xf>
    <xf numFmtId="0" fontId="5" fillId="2" borderId="0" applyAlignment="1" pivotButton="0" quotePrefix="0" xfId="0">
      <alignment horizontal="center" vertical="center" wrapText="1"/>
    </xf>
    <xf numFmtId="0" fontId="6" fillId="3" borderId="1" applyAlignment="1" pivotButton="0" quotePrefix="0" xfId="0">
      <alignment horizontal="general" vertical="top" wrapText="1"/>
    </xf>
    <xf numFmtId="0" fontId="6" fillId="0" borderId="0" pivotButton="0" quotePrefix="0" xfId="0"/>
    <xf numFmtId="0" fontId="7" fillId="4" borderId="1" applyAlignment="1" pivotButton="0" quotePrefix="0" xfId="0">
      <alignment horizontal="general" vertical="top" wrapText="1"/>
    </xf>
    <xf numFmtId="0" fontId="7" fillId="5" borderId="1" applyAlignment="1" pivotButton="0" quotePrefix="0" xfId="0">
      <alignment horizontal="general" vertical="top" wrapText="1"/>
    </xf>
    <xf numFmtId="0" fontId="8" fillId="0" borderId="0" applyAlignment="1" pivotButton="0" quotePrefix="0" xfId="0">
      <alignment horizontal="general" vertical="bottom"/>
    </xf>
    <xf numFmtId="0" fontId="9" fillId="4" borderId="0" applyAlignment="1" pivotButton="0" quotePrefix="0" xfId="0">
      <alignment horizontal="general" vertical="bottom"/>
    </xf>
    <xf numFmtId="0" fontId="9" fillId="5"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7" fillId="0" borderId="0" applyAlignment="1" pivotButton="0" quotePrefix="0" xfId="0">
      <alignment horizontal="general" vertical="bottom" wrapText="1"/>
    </xf>
    <xf numFmtId="0" fontId="11" fillId="0" borderId="0" applyAlignment="1" pivotButton="0" quotePrefix="0" xfId="0">
      <alignment horizontal="general" vertical="bottom"/>
    </xf>
    <xf numFmtId="0" fontId="7" fillId="6" borderId="1" applyAlignment="1" pivotButton="0" quotePrefix="0" xfId="0">
      <alignment horizontal="general" vertical="top" wrapText="1"/>
    </xf>
    <xf numFmtId="0" fontId="12" fillId="0" borderId="0" applyAlignment="1" pivotButton="0" quotePrefix="0" xfId="0">
      <alignment horizontal="general" vertical="bottom" wrapText="1"/>
    </xf>
    <xf numFmtId="0" fontId="13" fillId="3" borderId="1" applyAlignment="1" pivotButton="0" quotePrefix="0" xfId="0">
      <alignment horizontal="general" vertical="top" wrapText="1"/>
    </xf>
    <xf numFmtId="0" fontId="7" fillId="3" borderId="1" applyAlignment="1" pivotButton="0" quotePrefix="0" xfId="0">
      <alignment horizontal="general" vertical="top" wrapText="1"/>
    </xf>
    <xf numFmtId="0" fontId="14" fillId="7" borderId="2" applyAlignment="1" pivotButton="0" quotePrefix="0" xfId="0">
      <alignment horizontal="center" vertical="center" wrapText="1"/>
    </xf>
    <xf numFmtId="0" fontId="15" fillId="8" borderId="2" applyAlignment="1" pivotButton="0" quotePrefix="0" xfId="0">
      <alignment vertical="top" wrapText="1"/>
    </xf>
    <xf numFmtId="0" fontId="6" fillId="9" borderId="1" applyAlignment="1" pivotButton="0" quotePrefix="0" xfId="0">
      <alignment horizontal="general" vertical="top" wrapText="1"/>
    </xf>
    <xf numFmtId="0" fontId="6" fillId="9" borderId="0" pivotButton="0" quotePrefix="0" xfId="0"/>
    <xf numFmtId="0" fontId="7" fillId="9" borderId="1" applyAlignment="1" pivotButton="0" quotePrefix="0" xfId="0">
      <alignment horizontal="general" vertical="top" wrapText="1"/>
    </xf>
    <xf numFmtId="0" fontId="0" fillId="9"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2F3F4"/>
      <rgbColor rgb="FFD6EAF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5F5E3"/>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B4F72"/>
      <rgbColor rgb="FF339966"/>
      <rgbColor rgb="FF003300"/>
      <rgbColor rgb="FF333300"/>
      <rgbColor rgb="FF993300"/>
      <rgbColor rgb="FF993366"/>
      <rgbColor rgb="FF333399"/>
      <rgbColor rgb="FF555555"/>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C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I3" authorId="0" shapeId="0">
      <text>
        <t>[Extract] | Confidence: 50%</t>
      </text>
    </comment>
    <comment ref="L3" authorId="0" shapeId="0">
      <text>
        <t>[Extract] | Confidence: 50%</t>
      </text>
    </comment>
  </commentList>
</comments>
</file>

<file path=xl/comments/comment2.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List>
</comments>
</file>

<file path=xl/comments/comment3.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I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E4" authorId="0" shapeId="0">
      <text>
        <t>[Extract] | Confidence: 50%</t>
      </text>
    </comment>
    <comment ref="F4" authorId="0" shapeId="0">
      <text>
        <t>[Extract] | Confidence: 50%</t>
      </text>
    </comment>
    <comment ref="H4" authorId="0" shapeId="0">
      <text>
        <t>[Extract] | Confidence: 50%</t>
      </text>
    </comment>
    <comment ref="I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H5" authorId="0" shapeId="0">
      <text>
        <t>[Extract] | Confidence: 50%</t>
      </text>
    </comment>
    <comment ref="I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H6" authorId="0" shapeId="0">
      <text>
        <t>[Extract] | Confidence: 50%</t>
      </text>
    </comment>
    <comment ref="I6" authorId="0" shapeId="0">
      <text>
        <t>[Extract] | Confidence: 50%</t>
      </text>
    </comment>
    <comment ref="A7" authorId="0" shapeId="0">
      <text>
        <t>[Extract] | Confidence: 50%</t>
      </text>
    </comment>
    <comment ref="B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G7" authorId="0" shapeId="0">
      <text>
        <t>[Extract] | Confidence: 50%</t>
      </text>
    </comment>
    <comment ref="H7" authorId="0" shapeId="0">
      <text>
        <t>[Extract] | Confidence: 50%</t>
      </text>
    </comment>
    <comment ref="I7" authorId="0" shapeId="0">
      <text>
        <t>[Extract] | Confidence: 50%</t>
      </text>
    </comment>
    <comment ref="A8" authorId="0" shapeId="0">
      <text>
        <t>[Extract] | Confidence: 50%</t>
      </text>
    </comment>
    <comment ref="B8" authorId="0" shapeId="0">
      <text>
        <t>[Extract] | Confidence: 50%</t>
      </text>
    </comment>
    <comment ref="D8" authorId="0" shapeId="0">
      <text>
        <t>[Extract] | Confidence: 50%</t>
      </text>
    </comment>
    <comment ref="E8" authorId="0" shapeId="0">
      <text>
        <t>[Extract] | Confidence: 50%</t>
      </text>
    </comment>
    <comment ref="F8" authorId="0" shapeId="0">
      <text>
        <t>[Extract] | Confidence: 50%</t>
      </text>
    </comment>
    <comment ref="G8" authorId="0" shapeId="0">
      <text>
        <t>[Extract] | Confidence: 50%</t>
      </text>
    </comment>
    <comment ref="H8" authorId="0" shapeId="0">
      <text>
        <t>[Extract] | Confidence: 50%</t>
      </text>
    </comment>
    <comment ref="I8" authorId="0" shapeId="0">
      <text>
        <t>[Extract] | Confidence: 50%</t>
      </text>
    </comment>
  </commentList>
</comments>
</file>

<file path=xl/comments/comment4.xml><?xml version="1.0" encoding="utf-8"?>
<comments xmlns="http://schemas.openxmlformats.org/spreadsheetml/2006/main">
  <authors>
    <author>uofa extract</author>
  </authors>
  <commentList>
    <comment ref="C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G5" authorId="0" shapeId="0">
      <text>
        <t>[Extract] | Confidence: 50%</t>
      </text>
    </comment>
    <comment ref="C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G6" authorId="0" shapeId="0">
      <text>
        <t>[Extract] | Confidence: 50%</t>
      </text>
    </comment>
    <comment ref="C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G7" authorId="0" shapeId="0">
      <text>
        <t>[Extract] | Confidence: 50%</t>
      </text>
    </comment>
    <comment ref="C8" authorId="0" shapeId="0">
      <text>
        <t>[Extract] | Confidence: 50%</t>
      </text>
    </comment>
    <comment ref="D8" authorId="0" shapeId="0">
      <text>
        <t>[Extract] | Confidence: 50%</t>
      </text>
    </comment>
    <comment ref="E8" authorId="0" shapeId="0">
      <text>
        <t>[Extract] | Confidence: 50%</t>
      </text>
    </comment>
    <comment ref="F8" authorId="0" shapeId="0">
      <text>
        <t>[Extract] | Confidence: 50%</t>
      </text>
    </comment>
    <comment ref="G8" authorId="0" shapeId="0">
      <text>
        <t>[Extract] | Confidence: 50%</t>
      </text>
    </comment>
    <comment ref="C9" authorId="0" shapeId="0">
      <text>
        <t>[Extract] | Confidence: 50%</t>
      </text>
    </comment>
    <comment ref="D9" authorId="0" shapeId="0">
      <text>
        <t>[Extract] | Confidence: 50%</t>
      </text>
    </comment>
    <comment ref="E9" authorId="0" shapeId="0">
      <text>
        <t>[Extract] | Confidence: 50%</t>
      </text>
    </comment>
    <comment ref="F9" authorId="0" shapeId="0">
      <text>
        <t>[Extract] | Confidence: 50%</t>
      </text>
    </comment>
    <comment ref="G9" authorId="0" shapeId="0">
      <text>
        <t>[Extract] | Confidence: 50%</t>
      </text>
    </comment>
    <comment ref="C10" authorId="0" shapeId="0">
      <text>
        <t>[Extract] | Confidence: 50%</t>
      </text>
    </comment>
    <comment ref="D10" authorId="0" shapeId="0">
      <text>
        <t>[Extract] | Confidence: 50%</t>
      </text>
    </comment>
    <comment ref="E10" authorId="0" shapeId="0">
      <text>
        <t>[Extract] | Confidence: 50%</t>
      </text>
    </comment>
    <comment ref="F10" authorId="0" shapeId="0">
      <text>
        <t>[Extract] | Confidence: 50%</t>
      </text>
    </comment>
    <comment ref="G10" authorId="0" shapeId="0">
      <text>
        <t>[Extract] | Confidence: 50%</t>
      </text>
    </comment>
    <comment ref="C11" authorId="0" shapeId="0">
      <text>
        <t>[Extract] | Confidence: 50%</t>
      </text>
    </comment>
    <comment ref="D11" authorId="0" shapeId="0">
      <text>
        <t>[Extract] | Confidence: 50%</t>
      </text>
    </comment>
    <comment ref="E11" authorId="0" shapeId="0">
      <text>
        <t>[Extract] | Confidence: 50%</t>
      </text>
    </comment>
    <comment ref="F11" authorId="0" shapeId="0">
      <text>
        <t>[Extract] | Confidence: 50%</t>
      </text>
    </comment>
    <comment ref="G11" authorId="0" shapeId="0">
      <text>
        <t>[Extract] | Confidence: 50%</t>
      </text>
    </comment>
    <comment ref="C12" authorId="0" shapeId="0">
      <text>
        <t>[Extract] | Confidence: 50%</t>
      </text>
    </comment>
    <comment ref="D12" authorId="0" shapeId="0">
      <text>
        <t>[Extract] | Confidence: 50%</t>
      </text>
    </comment>
    <comment ref="E12" authorId="0" shapeId="0">
      <text>
        <t>[Extract] | Confidence: 50%</t>
      </text>
    </comment>
    <comment ref="F12" authorId="0" shapeId="0">
      <text>
        <t>[Extract] | Confidence: 50%</t>
      </text>
    </comment>
    <comment ref="G12" authorId="0" shapeId="0">
      <text>
        <t>[Extract] | Confidence: 50%</t>
      </text>
    </comment>
    <comment ref="C13" authorId="0" shapeId="0">
      <text>
        <t>[Extract] | Confidence: 50%</t>
      </text>
    </comment>
    <comment ref="D13" authorId="0" shapeId="0">
      <text>
        <t>[Extract] | Confidence: 50%</t>
      </text>
    </comment>
    <comment ref="E13" authorId="0" shapeId="0">
      <text>
        <t>[Extract] | Confidence: 50%</t>
      </text>
    </comment>
    <comment ref="F13" authorId="0" shapeId="0">
      <text>
        <t>[Extract] | Confidence: 50%</t>
      </text>
    </comment>
    <comment ref="G13" authorId="0" shapeId="0">
      <text>
        <t>[Extract] | Confidence: 50%</t>
      </text>
    </comment>
    <comment ref="C14" authorId="0" shapeId="0">
      <text>
        <t>[Extract] | Confidence: 50%</t>
      </text>
    </comment>
    <comment ref="D14" authorId="0" shapeId="0">
      <text>
        <t>[Extract] | Confidence: 50%</t>
      </text>
    </comment>
    <comment ref="E14" authorId="0" shapeId="0">
      <text>
        <t>[Extract] | Confidence: 50%</t>
      </text>
    </comment>
    <comment ref="F14" authorId="0" shapeId="0">
      <text>
        <t>[Extract] | Confidence: 50%</t>
      </text>
    </comment>
    <comment ref="G14" authorId="0" shapeId="0">
      <text>
        <t>[Extract] | Confidence: 50%</t>
      </text>
    </comment>
    <comment ref="C15" authorId="0" shapeId="0">
      <text>
        <t>[Extract] | Confidence: 50%</t>
      </text>
    </comment>
    <comment ref="D15" authorId="0" shapeId="0">
      <text>
        <t>[Extract] | Confidence: 50%</t>
      </text>
    </comment>
    <comment ref="E15" authorId="0" shapeId="0">
      <text>
        <t>[Extract] | Confidence: 50%</t>
      </text>
    </comment>
    <comment ref="F15" authorId="0" shapeId="0">
      <text>
        <t>[Extract] | Confidence: 50%</t>
      </text>
    </comment>
    <comment ref="G15" authorId="0" shapeId="0">
      <text>
        <t>[Extract] | Confidence: 50%</t>
      </text>
    </comment>
    <comment ref="C16" authorId="0" shapeId="0">
      <text>
        <t>[Extract] | Confidence: 50%</t>
      </text>
    </comment>
    <comment ref="D16" authorId="0" shapeId="0">
      <text>
        <t>[Extract] | Confidence: 50%</t>
      </text>
    </comment>
    <comment ref="E16" authorId="0" shapeId="0">
      <text>
        <t>[Extract] | Confidence: 50%</t>
      </text>
    </comment>
    <comment ref="F16" authorId="0" shapeId="0">
      <text>
        <t>[Extract] | Confidence: 50%</t>
      </text>
    </comment>
    <comment ref="G16" authorId="0" shapeId="0">
      <text>
        <t>[Extract] | Confidence: 50%</t>
      </text>
    </comment>
    <comment ref="C17" authorId="0" shapeId="0">
      <text>
        <t>[Extract] | Confidence: 50%</t>
      </text>
    </comment>
    <comment ref="D17" authorId="0" shapeId="0">
      <text>
        <t>[Extract] | Confidence: 50%</t>
      </text>
    </comment>
    <comment ref="E17" authorId="0" shapeId="0">
      <text>
        <t>[Extract] | Confidence: 50%</t>
      </text>
    </comment>
    <comment ref="F17" authorId="0" shapeId="0">
      <text>
        <t>[Extract] | Confidence: 50%</t>
      </text>
    </comment>
    <comment ref="G17" authorId="0" shapeId="0">
      <text>
        <t>[Extract] | Confidence: 50%</t>
      </text>
    </comment>
  </commentList>
</comments>
</file>

<file path=xl/comments/comment5.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filterMode="0">
    <outlinePr summaryBelow="1" summaryRight="1"/>
    <pageSetUpPr fitToPage="1"/>
  </sheetPr>
  <dimension ref="A1:L6"/>
  <sheetViews>
    <sheetView showFormulas="0" showGridLines="1" showRowColHeaders="1" showZeros="1" rightToLeft="0" tabSelected="1"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17" min="1" max="1"/>
    <col width="30" customWidth="1" style="17" min="2" max="2"/>
    <col width="40" customWidth="1" style="17" min="3" max="3"/>
    <col width="12" customWidth="1" style="17" min="4" max="4"/>
    <col width="14" customWidth="1" style="17" min="5" max="5"/>
    <col width="16" customWidth="1" style="17" min="6" max="6"/>
    <col width="14" customWidth="1" style="17" min="7" max="7"/>
    <col width="20" customWidth="1" style="17" min="8" max="8"/>
    <col width="22" customWidth="1" style="17" min="9" max="9"/>
    <col width="16" customWidth="1" style="17" min="10" max="10"/>
    <col width="30" customWidth="1" style="17" min="11" max="11"/>
  </cols>
  <sheetData>
    <row r="1" ht="30" customHeight="1" s="18">
      <c r="A1" s="19" t="inlineStr">
        <is>
          <t>Unit of Assurance — Assessment Summary</t>
        </is>
      </c>
    </row>
    <row r="2" ht="23.85" customHeight="1" s="18">
      <c r="A2" s="20" t="inlineStr">
        <is>
          <t>Project Name</t>
        </is>
      </c>
      <c r="B2" s="20" t="inlineStr">
        <is>
          <t>COU Name</t>
        </is>
      </c>
      <c r="C2" s="20" t="inlineStr">
        <is>
          <t>COU Description</t>
        </is>
      </c>
      <c r="D2" s="20" t="inlineStr">
        <is>
          <t>Profile</t>
        </is>
      </c>
      <c r="E2" s="20" t="inlineStr">
        <is>
          <t>Device Class</t>
        </is>
      </c>
      <c r="F2" s="20" t="inlineStr">
        <is>
          <t>Model Risk Level</t>
        </is>
      </c>
      <c r="G2" s="20" t="inlineStr">
        <is>
          <t>Assurance Level</t>
        </is>
      </c>
      <c r="H2" s="20" t="inlineStr">
        <is>
          <t>Standards Reference</t>
        </is>
      </c>
      <c r="I2" s="20" t="inlineStr">
        <is>
          <t>Assessor Name</t>
        </is>
      </c>
      <c r="J2" s="20" t="inlineStr">
        <is>
          <t>Assessment Date</t>
        </is>
      </c>
      <c r="K2" s="20" t="inlineStr">
        <is>
          <t>Source Document</t>
        </is>
      </c>
      <c r="L2" s="21" t="inlineStr">
        <is>
          <t>Has UQ?</t>
        </is>
      </c>
    </row>
    <row r="3" ht="32.8" customHeight="1" s="18">
      <c r="A3" s="39" t="inlineStr">
        <is>
          <t>Stent-Graft CFD Screening — Flow Analytics</t>
        </is>
      </c>
      <c r="B3" s="39" t="inlineStr">
        <is>
          <t>CFD-based ranking of thoracic stent-graft geometries under pulsatile flow for benchtop prioritization</t>
        </is>
      </c>
      <c r="C3" s="39" t="inlineStr">
        <is>
          <t>Incompressible URANS CFD model (OpenFOAM v10, k-ω SST) used to rank candidate thoracic stent-graft designs by peak wall shear rate and arch pressure loss under pulsatile flow conditions (Re 2000–5000, HR 50–90 bpm). Results feed benchtop down-selection only; not used for patient-specific prediction or regulatory submission.</t>
        </is>
      </c>
      <c r="D3" s="39" t="inlineStr">
        <is>
          <t>Complete</t>
        </is>
      </c>
      <c r="E3" s="39" t="inlineStr">
        <is>
          <t>Class III</t>
        </is>
      </c>
      <c r="F3" s="39" t="inlineStr">
        <is>
          <t>MRL 3</t>
        </is>
      </c>
      <c r="G3" s="39" t="inlineStr">
        <is>
          <t>Medium</t>
        </is>
      </c>
      <c r="H3" s="39" t="inlineStr">
        <is>
          <t>ASME-VV40-2018</t>
        </is>
      </c>
      <c r="I3" s="39" t="inlineStr">
        <is>
          <t>A. Nguyen, L. Serrano</t>
        </is>
      </c>
      <c r="J3" s="22" t="inlineStr">
        <is>
          <t>Date of this assessment (YYYY-MM-DD)</t>
        </is>
      </c>
      <c r="K3" s="22" t="inlineStr">
        <is>
          <t>DOI, report number, or URI</t>
        </is>
      </c>
      <c r="L3" s="40" t="inlineStr">
        <is>
          <t>Yes</t>
        </is>
      </c>
    </row>
    <row r="4" ht="15" customHeight="1" s="18">
      <c r="A4" s="24" t="n"/>
      <c r="B4" s="24" t="n"/>
      <c r="C4" s="25" t="n"/>
      <c r="D4" s="24" t="n"/>
      <c r="E4" s="25" t="n"/>
      <c r="F4" s="25" t="n"/>
      <c r="G4" s="25" t="n"/>
      <c r="H4" s="25" t="n"/>
      <c r="I4" s="24" t="n"/>
      <c r="J4" s="24" t="n"/>
      <c r="K4" s="25" t="n"/>
    </row>
    <row r="6" ht="15" customHeight="1" s="18">
      <c r="A6" s="26" t="inlineStr">
        <is>
          <t>Legend:</t>
        </is>
      </c>
      <c r="C6" s="27" t="inlineStr">
        <is>
          <t>Required (Minimal)</t>
        </is>
      </c>
      <c r="D6" s="28" t="inlineStr">
        <is>
          <t>Required (Complete)</t>
        </is>
      </c>
      <c r="E6" s="29" t="inlineStr">
        <is>
          <t>Optional</t>
        </is>
      </c>
    </row>
  </sheetData>
  <mergeCells count="2">
    <mergeCell ref="A1:K1"/>
    <mergeCell ref="A6:B6"/>
  </mergeCells>
  <dataValidations count="5">
    <dataValidation sqref="D4" showDropDown="0" showInputMessage="0" showErrorMessage="0" allowBlank="0" error="Select Minimal or Complete" type="list" errorStyle="stop" operator="between">
      <formula1>list_profile</formula1>
      <formula2>0</formula2>
    </dataValidation>
    <dataValidation sqref="E4" showDropDown="0" showInputMessage="0" showErrorMessage="0" allowBlank="1" type="list" errorStyle="stop" operator="between">
      <formula1>list_device_class</formula1>
      <formula2>0</formula2>
    </dataValidation>
    <dataValidation sqref="F4" showDropDown="0" showInputMessage="0" showErrorMessage="0" allowBlank="1" type="list" errorStyle="stop" operator="between">
      <formula1>list_mrl</formula1>
      <formula2>0</formula2>
    </dataValidation>
    <dataValidation sqref="G4" showDropDown="0" showInputMessage="0" showErrorMessage="0" allowBlank="1" type="list" errorStyle="stop" operator="between">
      <formula1>list_assurance</formula1>
      <formula2>0</formula2>
    </dataValidation>
    <dataValidation sqref="H4" showDropDown="0" showInputMessage="0" showErrorMessage="0" allowBlank="1" type="list" errorStyle="stop" operator="between">
      <formula1>list_standards</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1"/>
  </sheetPr>
  <dimension ref="A1:B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17" min="1" max="1"/>
    <col width="90" customWidth="1" style="17" min="2" max="2"/>
  </cols>
  <sheetData>
    <row r="1" ht="30" customHeight="1" s="18">
      <c r="A1" s="19" t="inlineStr">
        <is>
          <t>UofA Excel Template — Instructions</t>
        </is>
      </c>
    </row>
    <row r="3" ht="39.75" customHeight="1" s="18">
      <c r="A3" s="30" t="inlineStr">
        <is>
          <t>What is this?</t>
        </is>
      </c>
      <c r="B3" s="31" t="inlineStr">
        <is>
          <t>This workbook captures a credibility assessment for one Context of Use (COU). Fill it out, then run `uofa import` to convert it to a machine-verifiable evidence package.</t>
        </is>
      </c>
    </row>
    <row r="4" ht="39.75" customHeight="1" s="18">
      <c r="A4" s="30" t="inlineStr">
        <is>
          <t>One workbook = one COU</t>
        </is>
      </c>
      <c r="B4" s="31" t="inlineStr">
        <is>
          <t>If your project has multiple COUs (e.g., different device classes or risk levels for the same model), create a separate workbook for each.</t>
        </is>
      </c>
    </row>
    <row r="5" ht="39.75" customHeight="1" s="18">
      <c r="A5" s="30" t="inlineStr">
        <is>
          <t>Profiles</t>
        </is>
      </c>
      <c r="B5" s="31" t="inlineStr">
        <is>
          <t>Minimal (7 fields, lightweight audit trail) is for early-stage projects or live pipeline capture. Complete (full V&amp;V 40 assessment) is for regulatory submissions.</t>
        </is>
      </c>
    </row>
    <row r="6" ht="39.75" customHeight="1" s="18">
      <c r="A6" s="30" t="inlineStr">
        <is>
          <t>Color coding</t>
        </is>
      </c>
      <c r="B6" s="31" t="inlineStr">
        <is>
          <t>Blue cells = required for Minimal profile. Green cells = required for Complete profile. White cells = optional.</t>
        </is>
      </c>
    </row>
    <row r="7" ht="39.75" customHeight="1" s="18">
      <c r="A7" s="30" t="inlineStr">
        <is>
          <t>Credibility Factors</t>
        </is>
      </c>
      <c r="B7" s="31" t="inlineStr">
        <is>
          <t>Sheet 4 is pre-populated with all 13 V&amp;V 40 factors from Table 5-1. You do not need to assess all 13 — set Assessed = "No" or "N/A" for factors not relevant to your COU.</t>
        </is>
      </c>
    </row>
    <row r="8" ht="39.75" customHeight="1" s="18">
      <c r="A8" s="30" t="inlineStr">
        <is>
          <t>Dropdowns</t>
        </is>
      </c>
      <c r="B8" s="31" t="inlineStr">
        <is>
          <t>Most constrained fields use dropdown lists. If you need a custom value not in the dropdown, type it directly (the validation will warn but not prevent entry).</t>
        </is>
      </c>
    </row>
    <row r="9" ht="39.75" customHeight="1" s="18">
      <c r="A9" s="30" t="inlineStr">
        <is>
          <t>After filling out</t>
        </is>
      </c>
      <c r="B9" s="31" t="inlineStr">
        <is>
          <t>Run: uofa import your-file.xlsx --sign --key keys/your.key --check</t>
        </is>
      </c>
    </row>
    <row r="10" ht="39.75" customHeight="1" s="18">
      <c r="A10" s="30" t="inlineStr">
        <is>
          <t>What the tool checks</t>
        </is>
      </c>
      <c r="B10" s="31" t="inlineStr">
        <is>
          <t>Gate 1 (SHACL): Are all required fields present? Gate 2 (Jena rules): Are there quality gaps (weakeners)? Gate 3 (Integrity): Is the hash and signature valid?</t>
        </is>
      </c>
    </row>
    <row r="11" ht="39.75" customHeight="1" s="18">
      <c r="A11" s="30" t="inlineStr">
        <is>
          <t>More info</t>
        </is>
      </c>
      <c r="B11" s="31" t="inlineStr">
        <is>
          <t>https://crediblesimulation.com | https://github.com/cloudronin/uofa</t>
        </is>
      </c>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L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sheetData>
    <row r="1" ht="15" customHeight="1" s="18">
      <c r="A1" s="32" t="inlineStr">
        <is>
          <t>Profile</t>
        </is>
      </c>
      <c r="B1" s="32" t="inlineStr">
        <is>
          <t>Device Class</t>
        </is>
      </c>
      <c r="C1" s="32" t="inlineStr">
        <is>
          <t>Model Risk Level</t>
        </is>
      </c>
      <c r="D1" s="32" t="inlineStr">
        <is>
          <t>Assurance Level</t>
        </is>
      </c>
      <c r="E1" s="32" t="inlineStr">
        <is>
          <t>Standards Reference</t>
        </is>
      </c>
      <c r="F1" s="32" t="inlineStr">
        <is>
          <t>Entity Type</t>
        </is>
      </c>
      <c r="G1" s="32" t="inlineStr">
        <is>
          <t>Has UQ</t>
        </is>
      </c>
      <c r="H1" s="32" t="inlineStr">
        <is>
          <t>Pass/Fail</t>
        </is>
      </c>
      <c r="I1" s="32" t="inlineStr">
        <is>
          <t>Factor Level (1-5)</t>
        </is>
      </c>
      <c r="J1" s="32" t="inlineStr">
        <is>
          <t>Factor Status</t>
        </is>
      </c>
      <c r="K1" s="32" t="inlineStr">
        <is>
          <t>Decision Outcome</t>
        </is>
      </c>
      <c r="L1" s="17" t="inlineStr">
        <is>
          <t>Has UQ (COU-level)</t>
        </is>
      </c>
    </row>
    <row r="2" ht="15" customHeight="1" s="18">
      <c r="A2" s="17" t="inlineStr">
        <is>
          <t>Minimal</t>
        </is>
      </c>
      <c r="B2" s="17" t="inlineStr">
        <is>
          <t>Class I</t>
        </is>
      </c>
      <c r="C2" s="17" t="inlineStr">
        <is>
          <t>MRL 1</t>
        </is>
      </c>
      <c r="D2" s="17" t="inlineStr">
        <is>
          <t>Low</t>
        </is>
      </c>
      <c r="E2" s="17" t="inlineStr">
        <is>
          <t>ASME-VV40-2018</t>
        </is>
      </c>
      <c r="F2" s="17" t="inlineStr">
        <is>
          <t>Requirement</t>
        </is>
      </c>
      <c r="G2" s="17" t="inlineStr">
        <is>
          <t>Yes</t>
        </is>
      </c>
      <c r="H2" s="17" t="inlineStr">
        <is>
          <t>Pass</t>
        </is>
      </c>
      <c r="I2" s="17" t="n">
        <v>1</v>
      </c>
      <c r="J2" s="17" t="inlineStr">
        <is>
          <t>assessed</t>
        </is>
      </c>
      <c r="K2" s="17" t="inlineStr">
        <is>
          <t>Accepted</t>
        </is>
      </c>
      <c r="L2" s="17" t="inlineStr">
        <is>
          <t>Yes</t>
        </is>
      </c>
    </row>
    <row r="3" ht="15" customHeight="1" s="18">
      <c r="A3" s="17" t="inlineStr">
        <is>
          <t>Complete</t>
        </is>
      </c>
      <c r="B3" s="17" t="inlineStr">
        <is>
          <t>Class II</t>
        </is>
      </c>
      <c r="C3" s="17" t="inlineStr">
        <is>
          <t>MRL 2</t>
        </is>
      </c>
      <c r="D3" s="17" t="inlineStr">
        <is>
          <t>Medium</t>
        </is>
      </c>
      <c r="E3" s="17" t="inlineStr">
        <is>
          <t>NASA-STD-7009B</t>
        </is>
      </c>
      <c r="F3" s="17" t="inlineStr">
        <is>
          <t>Model</t>
        </is>
      </c>
      <c r="G3" s="17" t="inlineStr">
        <is>
          <t>No</t>
        </is>
      </c>
      <c r="H3" s="17" t="inlineStr">
        <is>
          <t>Fail</t>
        </is>
      </c>
      <c r="I3" s="17" t="n">
        <v>2</v>
      </c>
      <c r="J3" s="17" t="inlineStr">
        <is>
          <t>not-assessed</t>
        </is>
      </c>
      <c r="K3" s="17" t="inlineStr">
        <is>
          <t>Not accepted</t>
        </is>
      </c>
      <c r="L3" s="17" t="inlineStr">
        <is>
          <t>No</t>
        </is>
      </c>
    </row>
    <row r="4" ht="15" customHeight="1" s="18">
      <c r="B4" s="17" t="inlineStr">
        <is>
          <t>Class III</t>
        </is>
      </c>
      <c r="C4" s="17" t="inlineStr">
        <is>
          <t>MRL 3</t>
        </is>
      </c>
      <c r="D4" s="17" t="inlineStr">
        <is>
          <t>High</t>
        </is>
      </c>
      <c r="E4" s="17" t="inlineStr">
        <is>
          <t>FDA-2023-CMS</t>
        </is>
      </c>
      <c r="F4" s="17" t="inlineStr">
        <is>
          <t>Dataset</t>
        </is>
      </c>
      <c r="H4" s="17" t="inlineStr">
        <is>
          <t>Inconclusive</t>
        </is>
      </c>
      <c r="I4" s="17" t="n">
        <v>3</v>
      </c>
      <c r="J4" s="17" t="inlineStr">
        <is>
          <t>scoped-out</t>
        </is>
      </c>
      <c r="K4" s="17" t="inlineStr">
        <is>
          <t>Conditional</t>
        </is>
      </c>
    </row>
    <row r="5" ht="15" customHeight="1" s="18">
      <c r="B5" s="17" t="inlineStr">
        <is>
          <t>Category A</t>
        </is>
      </c>
      <c r="C5" s="17" t="inlineStr">
        <is>
          <t>MRL 4</t>
        </is>
      </c>
      <c r="E5" s="17" t="inlineStr">
        <is>
          <t>Custom</t>
        </is>
      </c>
      <c r="H5" s="17" t="inlineStr">
        <is>
          <t>N/A</t>
        </is>
      </c>
      <c r="I5" s="17" t="n">
        <v>4</v>
      </c>
      <c r="J5" s="17" t="inlineStr">
        <is>
          <t>not-applicable</t>
        </is>
      </c>
    </row>
    <row r="6" ht="15" customHeight="1" s="18">
      <c r="B6" s="17" t="inlineStr">
        <is>
          <t>Category B</t>
        </is>
      </c>
      <c r="C6" s="17" t="inlineStr">
        <is>
          <t>MRL 5</t>
        </is>
      </c>
      <c r="I6" s="17" t="n">
        <v>5</v>
      </c>
    </row>
    <row r="7" ht="15" customHeight="1" s="18">
      <c r="B7" s="17" t="inlineStr">
        <is>
          <t>Category C</t>
        </is>
      </c>
    </row>
    <row r="8" ht="15" customHeight="1" s="18">
      <c r="B8" s="17" t="inlineStr">
        <is>
          <t>Category D</t>
        </is>
      </c>
    </row>
    <row r="9" ht="15" customHeight="1" s="18">
      <c r="B9" s="17" t="inlineStr">
        <is>
          <t>Category E</t>
        </is>
      </c>
    </row>
    <row r="10" ht="15" customHeight="1" s="18">
      <c r="B10" s="17" t="inlineStr">
        <is>
          <t>Other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1"/>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17" min="1" max="1"/>
    <col width="35" customWidth="1" style="17" min="2" max="2"/>
    <col width="40" customWidth="1" style="17" min="3" max="3"/>
    <col width="45" customWidth="1" style="17" min="4" max="4"/>
    <col width="12" customWidth="1" style="17" min="5" max="5"/>
    <col width="20" customWidth="1" style="17" min="6" max="6"/>
  </cols>
  <sheetData>
    <row r="1" ht="30" customHeight="1" s="18">
      <c r="A1" s="19" t="inlineStr">
        <is>
          <t>Model &amp; Data — What you modeled and compared against</t>
        </is>
      </c>
    </row>
    <row r="2" ht="15" customHeight="1" s="18">
      <c r="A2" s="20" t="inlineStr">
        <is>
          <t>Entity Type</t>
        </is>
      </c>
      <c r="B2" s="20" t="inlineStr">
        <is>
          <t>Name</t>
        </is>
      </c>
      <c r="C2" s="20" t="inlineStr">
        <is>
          <t>Identifier / URI</t>
        </is>
      </c>
      <c r="D2" s="20" t="inlineStr">
        <is>
          <t>Description</t>
        </is>
      </c>
      <c r="E2" s="20" t="inlineStr">
        <is>
          <t>Version</t>
        </is>
      </c>
      <c r="F2" s="20" t="inlineStr">
        <is>
          <t>Source</t>
        </is>
      </c>
    </row>
    <row r="3" ht="32.8" customHeight="1" s="18">
      <c r="A3" s="39" t="inlineStr">
        <is>
          <t>Requirement</t>
        </is>
      </c>
      <c r="B3" s="39" t="inlineStr">
        <is>
          <t>Design-screening accuracy requirement</t>
        </is>
      </c>
      <c r="C3" s="22" t="inlineStr">
        <is>
          <t>Stable URI or local ID</t>
        </is>
      </c>
      <c r="D3" s="39" t="inlineStr">
        <is>
          <t>CFD model must predict arch pressure loss and peak wall shear rate with sufficient accuracy to correctly rank candidate stent-graft geometries; numerical and model-form errors must remain small relative to bench measurement noise; output uncertainty must be quantified and bounded.</t>
        </is>
      </c>
      <c r="E3" s="22" t="inlineStr">
        <is>
          <t>Version number (optional)</t>
        </is>
      </c>
      <c r="F3" s="22" t="inlineStr">
        <is>
          <t>Where this came from (optional)</t>
        </is>
      </c>
    </row>
    <row r="4" ht="15" customHeight="1" s="18">
      <c r="A4" s="41" t="inlineStr">
        <is>
          <t>Model</t>
        </is>
      </c>
      <c r="B4" s="41" t="inlineStr">
        <is>
          <t>OpenFOAM v10 URANS k-ω SST CFD Model</t>
        </is>
      </c>
      <c r="C4" s="24" t="n"/>
      <c r="D4" s="41" t="inlineStr">
        <is>
          <t>Incompressible Navier–Stokes solver with URANS k-ω SST turbulence closure, polyhedral mesh (12M baseline cells, 10 prism layers, Δy+≈1–2), Δt=1e-4 s, double precision, containerized environment (Ubuntu 22.04).</t>
        </is>
      </c>
      <c r="E4" s="33" t="n"/>
      <c r="F4" s="33" t="n"/>
    </row>
    <row r="5" ht="15" customHeight="1" s="18">
      <c r="A5" s="41" t="inlineStr">
        <is>
          <t>Dataset</t>
        </is>
      </c>
      <c r="B5" s="41" t="inlineStr">
        <is>
          <t>Refractive-Index-Matched PIV Validation Dataset</t>
        </is>
      </c>
      <c r="C5" s="24" t="n"/>
      <c r="D5" s="41" t="inlineStr">
        <is>
          <t>PIV velocity fields and ΔP measurements in PDMS arch model matching graft geometry at Re≈3500, Womersley≈14; velocity uncertainty ≈5%, ΔP transducer ±1 mmHg (k=2); pre/post calibration and outlier rejection &lt;2%.</t>
        </is>
      </c>
      <c r="E5" s="33" t="n"/>
      <c r="F5" s="33" t="n"/>
    </row>
    <row r="6" ht="15" customHeight="1" s="18">
      <c r="A6" s="41" t="inlineStr">
        <is>
          <t>Dataset</t>
        </is>
      </c>
      <c r="B6" s="41" t="inlineStr">
        <is>
          <t>Latin Hypercube UQ Propagation Dataset</t>
        </is>
      </c>
      <c r="C6" s="24" t="n"/>
      <c r="D6" s="41" t="inlineStr">
        <is>
          <t>N=120 LHS samples over viscosity, inflow amplitude, and outlet impedances; produces 95% CI on peak τw (2750±220 s⁻¹) and arch ΔP (18.9±1.1 mmHg); Sobol indices computed for first-order sensitivity.</t>
        </is>
      </c>
      <c r="E6" s="33" t="n"/>
      <c r="F6" s="33" t="n"/>
    </row>
    <row r="7" ht="15" customHeight="1" s="18">
      <c r="A7" s="24" t="n"/>
      <c r="B7" s="24" t="n"/>
      <c r="C7" s="24" t="n"/>
      <c r="D7" s="33" t="n"/>
      <c r="E7" s="33" t="n"/>
      <c r="F7" s="33" t="n"/>
    </row>
    <row r="8" ht="15" customHeight="1" s="18">
      <c r="A8" s="24" t="n"/>
      <c r="B8" s="24" t="n"/>
      <c r="C8" s="24" t="n"/>
      <c r="D8" s="33" t="n"/>
      <c r="E8" s="33" t="n"/>
      <c r="F8" s="33" t="n"/>
    </row>
    <row r="9" ht="15" customHeight="1" s="18">
      <c r="A9" s="24" t="n"/>
      <c r="B9" s="24" t="n"/>
      <c r="C9" s="24" t="n"/>
      <c r="D9" s="33" t="n"/>
      <c r="E9" s="33" t="n"/>
      <c r="F9" s="33" t="n"/>
    </row>
    <row r="10" ht="15" customHeight="1" s="18">
      <c r="A10" s="24" t="n"/>
      <c r="B10" s="24" t="n"/>
      <c r="C10" s="24" t="n"/>
      <c r="D10" s="33" t="n"/>
      <c r="E10" s="33" t="n"/>
      <c r="F10" s="33" t="n"/>
    </row>
    <row r="11" ht="15" customHeight="1" s="18">
      <c r="A11" s="24" t="n"/>
      <c r="B11" s="24" t="n"/>
      <c r="C11" s="24" t="n"/>
      <c r="D11" s="33" t="n"/>
      <c r="E11" s="33" t="n"/>
      <c r="F11" s="33" t="n"/>
    </row>
    <row r="12" ht="15" customHeight="1" s="18">
      <c r="A12" s="24" t="n"/>
      <c r="B12" s="24" t="n"/>
      <c r="C12" s="24" t="n"/>
      <c r="D12" s="33" t="n"/>
      <c r="E12" s="33" t="n"/>
      <c r="F12" s="33" t="n"/>
    </row>
    <row r="13" ht="15" customHeight="1" s="18">
      <c r="A13" s="24" t="n"/>
      <c r="B13" s="24" t="n"/>
      <c r="C13" s="24" t="n"/>
      <c r="D13" s="33" t="n"/>
      <c r="E13" s="33" t="n"/>
      <c r="F13" s="33" t="n"/>
    </row>
  </sheetData>
  <mergeCells count="1">
    <mergeCell ref="A1:F1"/>
  </mergeCells>
  <dataValidations count="1">
    <dataValidation sqref="A4:A13" showDropDown="0" showInputMessage="0" showErrorMessage="0" allowBlank="1" type="list" errorStyle="stop" operator="between">
      <formula1>list_entity_type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5.xml><?xml version="1.0" encoding="utf-8"?>
<worksheet xmlns="http://schemas.openxmlformats.org/spreadsheetml/2006/main">
  <sheetPr filterMode="0">
    <outlinePr summaryBelow="1" summaryRight="1"/>
    <pageSetUpPr fitToPage="1"/>
  </sheetPr>
  <dimension ref="A1:I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5" customWidth="1" style="17" min="1" max="1"/>
    <col width="35" customWidth="1" style="17" min="2" max="2"/>
    <col width="45" customWidth="1" style="17" min="3" max="3"/>
    <col width="35" customWidth="1" style="17" min="4" max="4"/>
    <col width="10" customWidth="1" style="17" min="5" max="5"/>
    <col width="30" customWidth="1" style="17" min="6" max="6"/>
    <col width="18" customWidth="1" style="17" min="7" max="7"/>
    <col width="14" customWidth="1" style="17" min="8" max="8"/>
  </cols>
  <sheetData>
    <row r="1" ht="30" customHeight="1" s="18">
      <c r="A1" s="19" t="inlineStr">
        <is>
          <t>Validation Results — What you found when you tested the model</t>
        </is>
      </c>
    </row>
    <row r="2" ht="15" customHeight="1" s="18">
      <c r="A2" s="20" t="inlineStr">
        <is>
          <t>Result Name</t>
        </is>
      </c>
      <c r="B2" s="20" t="inlineStr">
        <is>
          <t>Identifier / URI</t>
        </is>
      </c>
      <c r="C2" s="20" t="inlineStr">
        <is>
          <t>Description</t>
        </is>
      </c>
      <c r="D2" s="20" t="inlineStr">
        <is>
          <t>Compares To</t>
        </is>
      </c>
      <c r="E2" s="20" t="inlineStr">
        <is>
          <t>Has UQ?</t>
        </is>
      </c>
      <c r="F2" s="20" t="inlineStr">
        <is>
          <t>UQ Method</t>
        </is>
      </c>
      <c r="G2" s="20" t="inlineStr">
        <is>
          <t>Metric Value</t>
        </is>
      </c>
      <c r="H2" s="20" t="inlineStr">
        <is>
          <t>Pass / Fail</t>
        </is>
      </c>
    </row>
    <row r="3" ht="32.8" customHeight="1" s="18">
      <c r="A3" s="39" t="inlineStr">
        <is>
          <t>Mesh Convergence / GCI Study</t>
        </is>
      </c>
      <c r="B3" s="39" t="inlineStr">
        <is>
          <t>ValidationResult</t>
        </is>
      </c>
      <c r="C3" s="22" t="inlineStr">
        <is>
          <t>What was done, what was found</t>
        </is>
      </c>
      <c r="D3" s="39" t="inlineStr">
        <is>
          <t>Three mesh levels (6M, 12M, 24M polyhedral cells) assessed for peak wall shear rate and arch pressure loss under pulsatile flow conditions.</t>
        </is>
      </c>
      <c r="E3" s="39" t="inlineStr">
        <is>
          <t>Richardson extrapolation / Grid Convergence Index</t>
        </is>
      </c>
      <c r="F3" s="39" t="inlineStr">
        <is>
          <t>Yes</t>
        </is>
      </c>
      <c r="G3" s="39" t="inlineStr">
        <is>
          <t>Grid Convergence Index (GCI)</t>
        </is>
      </c>
      <c r="H3" s="39" t="inlineStr">
        <is>
          <t>GCI 3.5% (peak τw), GCI 1.8% (arch ΔP); successive change 3.2%→1.3% (τw), 2.8%→0.9% (ΔP)</t>
        </is>
      </c>
      <c r="I3" s="42" t="inlineStr">
        <is>
          <t>Pass</t>
        </is>
      </c>
    </row>
    <row r="4" ht="15" customHeight="1" s="18">
      <c r="A4" s="41" t="inlineStr">
        <is>
          <t>Temporal Discretization Sensitivity</t>
        </is>
      </c>
      <c r="B4" s="41" t="inlineStr">
        <is>
          <t>ValidationResult</t>
        </is>
      </c>
      <c r="C4" s="33" t="n"/>
      <c r="D4" s="41" t="inlineStr">
        <is>
          <t>Time-step halved from Δt=1e-4 s to 5e-5 s; cycle-averaged arch ΔP and peak τw monitored for sensitivity.</t>
        </is>
      </c>
      <c r="E4" s="41" t="inlineStr">
        <is>
          <t>Coarser time-step baseline solution</t>
        </is>
      </c>
      <c r="F4" s="41" t="inlineStr">
        <is>
          <t>No</t>
        </is>
      </c>
      <c r="G4" s="33" t="n"/>
      <c r="H4" s="41" t="inlineStr">
        <is>
          <t>ΔP shift 0.6%, peak τw shift 1.1%</t>
        </is>
      </c>
      <c r="I4" s="42" t="inlineStr">
        <is>
          <t>Pass</t>
        </is>
      </c>
    </row>
    <row r="5" ht="15" customHeight="1" s="18">
      <c r="A5" s="41" t="inlineStr">
        <is>
          <t>Iterative Solver Convergence and Periodicity Check</t>
        </is>
      </c>
      <c r="B5" s="41" t="inlineStr">
        <is>
          <t>ValidationResult</t>
        </is>
      </c>
      <c r="C5" s="33" t="n"/>
      <c r="D5" s="41" t="inlineStr">
        <is>
          <t>Residuals monitored to 1e-5 per time step; mass imbalance &lt;0.1%; cycle-to-cycle periodicity error over last two cycles assessed.</t>
        </is>
      </c>
      <c r="E5" s="41" t="inlineStr">
        <is>
          <t>Residual and periodicity targets</t>
        </is>
      </c>
      <c r="F5" s="41" t="inlineStr">
        <is>
          <t>No</t>
        </is>
      </c>
      <c r="G5" s="33" t="n"/>
      <c r="H5" s="41" t="inlineStr">
        <is>
          <t>Residuals ≤1e-5; mass imbalance &lt;0.1%; periodicity error &lt;0.5%</t>
        </is>
      </c>
      <c r="I5" s="42" t="inlineStr">
        <is>
          <t>Pass</t>
        </is>
      </c>
    </row>
    <row r="6" ht="15" customHeight="1" s="18">
      <c r="A6" s="41" t="inlineStr">
        <is>
          <t>Code Verification Against Analytical and Benchmark Solutions</t>
        </is>
      </c>
      <c r="B6" s="41" t="inlineStr">
        <is>
          <t>ValidationResult</t>
        </is>
      </c>
      <c r="C6" s="33" t="n"/>
      <c r="D6" s="41" t="inlineStr">
        <is>
          <t>Second-order spatial and temporal convergence rates verified on Poiseuille and Womersley tube flows; lid-driven cavity compared to published benchmarks.</t>
        </is>
      </c>
      <c r="E6" s="41" t="inlineStr">
        <is>
          <t>Analytical Poiseuille/Womersley solutions; published lid-driven cavity benchmark data</t>
        </is>
      </c>
      <c r="F6" s="41" t="inlineStr">
        <is>
          <t>No</t>
        </is>
      </c>
      <c r="G6" s="33" t="n"/>
      <c r="H6" s="41" t="inlineStr">
        <is>
          <t>Lid-driven cavity within 0.7% of benchmark; second-order rates confirmed</t>
        </is>
      </c>
      <c r="I6" s="42" t="inlineStr">
        <is>
          <t>Pass</t>
        </is>
      </c>
    </row>
    <row r="7" ht="15" customHeight="1" s="18">
      <c r="A7" s="41" t="inlineStr">
        <is>
          <t>PIV Comparison — Arch ΔP and Velocity Fields</t>
        </is>
      </c>
      <c r="B7" s="41" t="inlineStr">
        <is>
          <t>ValidationResult</t>
        </is>
      </c>
      <c r="C7" s="33" t="n"/>
      <c r="D7" s="41" t="inlineStr">
        <is>
          <t>CFD predictions of cycle-averaged arch pressure loss, RMS velocity error on three centerlines, jet width at zone 2, and vortex core location compared against refractive-index-matched PIV dataset at Re≈3500.</t>
        </is>
      </c>
      <c r="E7" s="41" t="inlineStr">
        <is>
          <t>PIV velocity fields and ΔP transducer measurements (PDMS arch model, identical geometry and waveform)</t>
        </is>
      </c>
      <c r="F7" s="41" t="inlineStr">
        <is>
          <t>Yes</t>
        </is>
      </c>
      <c r="G7" s="41" t="inlineStr">
        <is>
          <t>Measurement uncertainty propagation (velocity ±5%, ΔP ±1 mmHg k=2); LHS-based 95% CI on model outputs</t>
        </is>
      </c>
      <c r="H7" s="41" t="inlineStr">
        <is>
          <t>Arch ΔP error -3.6% (18.9 vs 19.6 mmHg); RMS velocity error 6.1%; jet width within 0.5 mm; vortex core within 3 mm</t>
        </is>
      </c>
      <c r="I7" s="42" t="inlineStr">
        <is>
          <t>Pass</t>
        </is>
      </c>
    </row>
    <row r="8" ht="15" customHeight="1" s="18">
      <c r="A8" s="41" t="inlineStr">
        <is>
          <t>Model-Form Sensitivity — SST vs SAS</t>
        </is>
      </c>
      <c r="B8" s="41" t="inlineStr">
        <is>
          <t>ValidationResult</t>
        </is>
      </c>
      <c r="C8" s="33" t="n"/>
      <c r="D8" s="41" t="inlineStr">
        <is>
          <t>SAS turbulence model run on one design at Re≈3500 and Re≈4800 to bracket model-form uncertainty relative to k-ω SST baseline.</t>
        </is>
      </c>
      <c r="E8" s="41" t="inlineStr">
        <is>
          <t>k-ω SST baseline results; no new separation modes observed at Re≈4800</t>
        </is>
      </c>
      <c r="F8" s="41" t="inlineStr">
        <is>
          <t>Yes</t>
        </is>
      </c>
      <c r="G8" s="41" t="inlineStr">
        <is>
          <t>Additive model-form bounds (SST vs SAS spread)</t>
        </is>
      </c>
      <c r="H8" s="41" t="inlineStr">
        <is>
          <t>Peak τw shift +7.4%; arch ΔP shift +3.1% between SST and SAS</t>
        </is>
      </c>
      <c r="I8" s="42" t="inlineStr">
        <is>
          <t>Pass</t>
        </is>
      </c>
    </row>
    <row r="9" ht="15" customHeight="1" s="18">
      <c r="A9" s="24" t="n"/>
      <c r="B9" s="24" t="n"/>
      <c r="C9" s="33" t="n"/>
      <c r="D9" s="33" t="n"/>
      <c r="E9" s="25" t="n"/>
      <c r="F9" s="33" t="n"/>
      <c r="G9" s="33" t="n"/>
      <c r="H9" s="33" t="n"/>
    </row>
    <row r="10" ht="15" customHeight="1" s="18">
      <c r="A10" s="24" t="n"/>
      <c r="B10" s="24" t="n"/>
      <c r="C10" s="33" t="n"/>
      <c r="D10" s="33" t="n"/>
      <c r="E10" s="25" t="n"/>
      <c r="F10" s="33" t="n"/>
      <c r="G10" s="33" t="n"/>
      <c r="H10" s="33" t="n"/>
    </row>
    <row r="11" ht="15" customHeight="1" s="18">
      <c r="A11" s="24" t="n"/>
      <c r="B11" s="24" t="n"/>
      <c r="C11" s="33" t="n"/>
      <c r="D11" s="33" t="n"/>
      <c r="E11" s="25" t="n"/>
      <c r="F11" s="33" t="n"/>
      <c r="G11" s="33" t="n"/>
      <c r="H11" s="33" t="n"/>
    </row>
    <row r="12" ht="15" customHeight="1" s="18">
      <c r="A12" s="24" t="n"/>
      <c r="B12" s="24" t="n"/>
      <c r="C12" s="33" t="n"/>
      <c r="D12" s="33" t="n"/>
      <c r="E12" s="25" t="n"/>
      <c r="F12" s="33" t="n"/>
      <c r="G12" s="33" t="n"/>
      <c r="H12" s="33" t="n"/>
    </row>
    <row r="13" ht="15" customHeight="1" s="18">
      <c r="A13" s="24" t="n"/>
      <c r="B13" s="24" t="n"/>
      <c r="C13" s="33" t="n"/>
      <c r="D13" s="33" t="n"/>
      <c r="E13" s="25" t="n"/>
      <c r="F13" s="33" t="n"/>
      <c r="G13" s="33" t="n"/>
      <c r="H13" s="33" t="n"/>
    </row>
  </sheetData>
  <mergeCells count="1">
    <mergeCell ref="A1:H1"/>
  </mergeCells>
  <dataValidations count="2">
    <dataValidation sqref="E4:E13" showDropDown="0" showInputMessage="0" showErrorMessage="0" allowBlank="1" type="list" errorStyle="stop" operator="between">
      <formula1>list_has_uq</formula1>
      <formula2>0</formula2>
    </dataValidation>
    <dataValidation sqref="H4:H13" showDropDown="0" showInputMessage="0" showErrorMessage="0" allowBlank="1" type="list" errorStyle="stop" operator="between">
      <formula1>list_pass_fail</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1"/>
  </sheetPr>
  <dimension ref="A1:H17"/>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2" customWidth="1" style="17" min="1" max="1"/>
    <col width="25" customWidth="1" style="17" min="2" max="2"/>
    <col width="16" customWidth="1" style="17" min="3" max="4"/>
    <col width="40" customWidth="1" style="17" min="5" max="5"/>
    <col width="12" customWidth="1" style="17" min="6" max="6"/>
    <col width="22" customWidth="1" style="18" min="8" max="8"/>
  </cols>
  <sheetData>
    <row r="1" ht="30" customHeight="1" s="18">
      <c r="A1" s="19" t="inlineStr">
        <is>
          <t>Credibility Factors — V&amp;V 40 Table 5-1 Assessment</t>
        </is>
      </c>
    </row>
    <row r="2" ht="30" customHeight="1" s="18">
      <c r="A2" s="34" t="inlineStr">
        <is>
          <t>Complete profile only. Assess each relevant factor: set Required Level (goal given model risk) and Achieved Level (what evidence supports).</t>
        </is>
      </c>
    </row>
    <row r="3" ht="15" customHeight="1" s="18">
      <c r="A3" s="20" t="inlineStr">
        <is>
          <t>Factor Type</t>
        </is>
      </c>
      <c r="B3" s="20" t="inlineStr">
        <is>
          <t>Category</t>
        </is>
      </c>
      <c r="C3" s="20" t="inlineStr">
        <is>
          <t>Required Level</t>
        </is>
      </c>
      <c r="D3" s="20" t="inlineStr">
        <is>
          <t>Achieved Level</t>
        </is>
      </c>
      <c r="E3" s="21" t="inlineStr">
        <is>
          <t>Acceptance Criteria</t>
        </is>
      </c>
      <c r="F3" s="20" t="inlineStr">
        <is>
          <t>Rationale</t>
        </is>
      </c>
      <c r="G3" s="20" t="inlineStr">
        <is>
          <t>Factor Status</t>
        </is>
      </c>
      <c r="H3" s="37" t="inlineStr">
        <is>
          <t>Linked Evidence</t>
        </is>
      </c>
    </row>
    <row r="4" ht="22.35" customHeight="1" s="18">
      <c r="A4" s="22" t="inlineStr">
        <is>
          <t>V&amp;V 40 factor (pre-filled, do not edit)</t>
        </is>
      </c>
      <c r="B4" s="22" t="inlineStr">
        <is>
          <t>Grouping (pre-filled)</t>
        </is>
      </c>
      <c r="C4" s="22" t="inlineStr">
        <is>
          <t>Credibility goal for this factor (1-5)</t>
        </is>
      </c>
      <c r="D4" s="22" t="inlineStr">
        <is>
          <t>Level achieved by evidence (1-5)</t>
        </is>
      </c>
      <c r="E4" s="23" t="inlineStr">
        <is>
          <t>Goal and basis for the required level (from V&amp;V 40 Tables 3-4)</t>
        </is>
      </c>
      <c r="F4" s="22" t="inlineStr">
        <is>
          <t>Brief justification (esp. if achieved &lt; required)</t>
        </is>
      </c>
      <c r="G4" s="22" t="inlineStr">
        <is>
          <t>assessed / not-assessed / scoped-out / not-applicable</t>
        </is>
      </c>
      <c r="H4" s="38" t="inlineStr">
        <is>
          <t>URI of validation result that supports this factor (optional)</t>
        </is>
      </c>
    </row>
    <row r="5" ht="15" customHeight="1" s="18">
      <c r="A5" s="35" t="inlineStr">
        <is>
          <t>Software quality assurance</t>
        </is>
      </c>
      <c r="B5" s="36" t="inlineStr">
        <is>
          <t>Verification — Code</t>
        </is>
      </c>
      <c r="C5" s="41" t="n">
        <v>3</v>
      </c>
      <c r="D5" s="41" t="n">
        <v>4</v>
      </c>
      <c r="E5" s="42" t="inlineStr">
        <is>
          <t>CI pipeline with regression testing; version-controlled, containerized solver environment</t>
        </is>
      </c>
      <c r="F5" s="41" t="inlineStr">
        <is>
          <t>OpenFOAM v10 run under a containerized environment (Ubuntu 22.04, image hash 9f2d) with a CI pipeline executing 32 regression CFD cases on each code merge. Mesh generator unit-tests element quality metrics. Case files, meshing scripts, and post-processing notebooks stored under Git LFS (tag v0.6.3) with recorded random seeds. Cross-solver spot check against Fluent 2023R2 on coarse mesh (ΔP within 2.1%) provides independent code-level check. Hardware reproducibility confirmed (&lt;0.3% spread between Intel and AMD clusters).</t>
        </is>
      </c>
      <c r="G5" s="41" t="inlineStr">
        <is>
          <t>assessed</t>
        </is>
      </c>
    </row>
    <row r="6" ht="15" customHeight="1" s="18">
      <c r="A6" s="36" t="inlineStr">
        <is>
          <t>Numerical code verification</t>
        </is>
      </c>
      <c r="B6" s="36" t="inlineStr">
        <is>
          <t>Verification — Code</t>
        </is>
      </c>
      <c r="C6" s="41" t="n">
        <v>3</v>
      </c>
      <c r="D6" s="41" t="n">
        <v>4</v>
      </c>
      <c r="E6" s="42" t="inlineStr">
        <is>
          <t>Demonstrated correct order of accuracy on canonical flows; benchmark comparison within acceptable tolerance</t>
        </is>
      </c>
      <c r="F6" s="41" t="inlineStr">
        <is>
          <t>Second-order spatial and temporal convergence rates verified on Poiseuille and Womersley analytical solutions. Lid-driven cavity benchmark matches published data within 0.7%. Cross-solver comparison (Fluent 2023R2) on coarse mesh yields ΔP within 2.1%, providing independent confirmation of code correctness.</t>
        </is>
      </c>
      <c r="G6" s="41" t="inlineStr">
        <is>
          <t>assessed</t>
        </is>
      </c>
    </row>
    <row r="7" ht="15" customHeight="1" s="18">
      <c r="A7" s="35" t="inlineStr">
        <is>
          <t>Discretization error</t>
        </is>
      </c>
      <c r="B7" s="36" t="inlineStr">
        <is>
          <t>Verification — Calculation</t>
        </is>
      </c>
      <c r="C7" s="41" t="n">
        <v>3</v>
      </c>
      <c r="D7" s="41" t="n">
        <v>4</v>
      </c>
      <c r="E7" s="42" t="inlineStr">
        <is>
          <t>GCI below 5% on primary QoIs; monotonic convergence demonstrated across three mesh levels</t>
        </is>
      </c>
      <c r="F7" s="41" t="inlineStr">
        <is>
          <t>Three mesh levels (6M, 12M, 24M cells) show monotonic convergence. GCI reported as 3.5% for peak τw and 1.8% for arch ΔP. Successive changes in peak τw (3.2% then 1.3%) and arch ΔP (2.8% then 0.9%) confirm convergence. Temporal sensitivity (halved Δt) yields &lt;1.1% change on all QoIs, confirming adequacy of Δt=1e-4 s.</t>
        </is>
      </c>
      <c r="G7" s="41" t="inlineStr">
        <is>
          <t>assessed</t>
        </is>
      </c>
    </row>
    <row r="8" ht="15" customHeight="1" s="18">
      <c r="A8" s="36" t="inlineStr">
        <is>
          <t>Numerical solver error</t>
        </is>
      </c>
      <c r="B8" s="36" t="inlineStr">
        <is>
          <t>Verification — Calculation</t>
        </is>
      </c>
      <c r="C8" s="41" t="n">
        <v>3</v>
      </c>
      <c r="D8" s="41" t="n">
        <v>4</v>
      </c>
      <c r="E8" s="42" t="inlineStr">
        <is>
          <t>Residuals reach 1e-5 or below per time step; mass imbalance &lt;0.1%; cycle-to-cycle periodicity confirmed</t>
        </is>
      </c>
      <c r="F8" s="41" t="inlineStr">
        <is>
          <t>Residuals driven to 1e-5 each time step; mass imbalance &lt;0.1% per step; periodicity error over last two cardiac cycles &lt;0.5%. These metrics are explicitly monitored and reported, demonstrating tight control of iterative solver error.</t>
        </is>
      </c>
      <c r="G8" s="41" t="inlineStr">
        <is>
          <t>assessed</t>
        </is>
      </c>
    </row>
    <row r="9" ht="15" customHeight="1" s="18">
      <c r="A9" s="36" t="inlineStr">
        <is>
          <t>Use error</t>
        </is>
      </c>
      <c r="B9" s="36" t="inlineStr">
        <is>
          <t>Verification — Calculation</t>
        </is>
      </c>
      <c r="C9" s="41" t="n">
        <v>3</v>
      </c>
      <c r="D9" s="41" t="n">
        <v>4</v>
      </c>
      <c r="E9" s="42" t="inlineStr">
        <is>
          <t>Independent expert review of model setup; boundary conditions and mesh quality verified; post-processing independently checked</t>
        </is>
      </c>
      <c r="F9" s="41" t="inlineStr">
        <is>
          <t>External SME (J. Patel, ex-Medtronic) performed independent review of solver decks and post-processing; recommended change to gradient limiting was implemented (ΔP impact &lt;0.2%). Boundary conditions verified against bench pump measurements. Mesh quality checked via unit tests in meshing pipeline. Full configuration control policy defined (rerun triggered by geometry change &gt;1 mm, waveform shape &gt;5%, or property shift beyond stated bounds).</t>
        </is>
      </c>
      <c r="G9" s="41" t="inlineStr">
        <is>
          <t>assessed</t>
        </is>
      </c>
    </row>
    <row r="10" ht="15" customHeight="1" s="18">
      <c r="A10" s="35" t="inlineStr">
        <is>
          <t>Model form</t>
        </is>
      </c>
      <c r="B10" s="36" t="inlineStr">
        <is>
          <t>Validation — Model</t>
        </is>
      </c>
      <c r="C10" s="41" t="n">
        <v>3</v>
      </c>
      <c r="D10" s="41" t="n">
        <v>3</v>
      </c>
      <c r="E10" s="42" t="inlineStr">
        <is>
          <t>Turbulence model selection justified; known limitations documented; model-form uncertainty bracketed</t>
        </is>
      </c>
      <c r="F10" s="41" t="inlineStr">
        <is>
          <t>Incompressible Navier–Stokes with Newtonian blood surrogate justified by Re&gt;2000 and low shear-thinning of glycerol–water mix. URANS k-ω SST with low-Re wall functions selected; SAS cross-check on one design provides model-form bracket. Known limitations explicitly documented: no RBC-scale hemolysis physics, rigid leaflet assumption, no wall compliance. Model-form spread quantified as additive bounds (+7.4% τw, +3.1% ΔP). Extrapolation risk at high Re flagged and partially addressed by SAS check at Re≈4800.</t>
        </is>
      </c>
      <c r="G10" s="41" t="inlineStr">
        <is>
          <t>assessed</t>
        </is>
      </c>
    </row>
    <row r="11" ht="15" customHeight="1" s="18">
      <c r="A11" s="36" t="inlineStr">
        <is>
          <t>Model inputs</t>
        </is>
      </c>
      <c r="B11" s="36" t="inlineStr">
        <is>
          <t>Validation — Model</t>
        </is>
      </c>
      <c r="C11" s="41" t="n">
        <v>3</v>
      </c>
      <c r="D11" s="41" t="n">
        <v>3</v>
      </c>
      <c r="E11" s="42" t="inlineStr">
        <is>
          <t>Inflow waveform from direct measurement; fluid properties characterized with uncertainty; boundary conditions traceable to rig conditions</t>
        </is>
      </c>
      <c r="F11" s="41" t="inlineStr">
        <is>
          <t>Inflow waveform measured from bench pump; outlet RCR targets matched to rig impedance (±15%); inflow amplitude scaled to pump meter (±3%). Viscosity μ=3.5 cP ±10%, density ρ=1060±5 kg/m³. No tuning to match validation outputs. LHS uncertainty propagation over key inputs (μ, inflow amplitude, outlet impedances) performed. Input uncertainty on outlet resistance is the dominant Sobol index (0.42).</t>
        </is>
      </c>
      <c r="G11" s="41" t="inlineStr">
        <is>
          <t>assessed</t>
        </is>
      </c>
    </row>
    <row r="12" ht="15" customHeight="1" s="18">
      <c r="A12" s="35" t="inlineStr">
        <is>
          <t>Test samples</t>
        </is>
      </c>
      <c r="B12" s="36" t="inlineStr">
        <is>
          <t>Validation — Comparator</t>
        </is>
      </c>
      <c r="C12" s="41" t="n">
        <v>2</v>
      </c>
      <c r="D12" s="41" t="n">
        <v>2</v>
      </c>
      <c r="E12" s="42" t="inlineStr">
        <is>
          <t>Test article geometrically representative of COU; fabrication fidelity documented</t>
        </is>
      </c>
      <c r="F12" s="41" t="inlineStr">
        <is>
          <t>Single PDMS arch model used for PIV validation, matched to the CFD geometry with fidelity within 0.2 mm. No information provided on multiple specimens, statistical characterization of sample population, or production-representative sampling. The single-sample approach is adequate for this screening-level use but limits statistical robustness claims.</t>
        </is>
      </c>
      <c r="G12" s="41" t="inlineStr">
        <is>
          <t>assessed</t>
        </is>
      </c>
    </row>
    <row r="13" ht="15" customHeight="1" s="18">
      <c r="A13" s="36" t="inlineStr">
        <is>
          <t>Test conditions</t>
        </is>
      </c>
      <c r="B13" s="36" t="inlineStr">
        <is>
          <t>Validation — Comparator</t>
        </is>
      </c>
      <c r="C13" s="41" t="n">
        <v>3</v>
      </c>
      <c r="D13" s="41" t="n">
        <v>3</v>
      </c>
      <c r="E13" s="42" t="inlineStr">
        <is>
          <t>PIV calibration documented; measurement uncertainties quantified; controlled test environment</t>
        </is>
      </c>
      <c r="F13" s="41" t="inlineStr">
        <is>
          <t>PIV calibration performed pre- and post-test; seeding density 0.04 ppp; outlier rejection &lt;2%. Velocity measurement uncertainty ≈5%; ΔP transducer ±1 mmHg (k=2). Test fluid properties (μ, ρ) match CFD inputs. Womersley number 14, Re≈3500 controlled. Calibration standards not explicitly named (no ASTM/ISO citation) but calibration practice is described quantitatively.</t>
        </is>
      </c>
      <c r="G13" s="41" t="inlineStr">
        <is>
          <t>assessed</t>
        </is>
      </c>
    </row>
    <row r="14" ht="15" customHeight="1" s="18">
      <c r="A14" s="35" t="inlineStr">
        <is>
          <t>Equivalency of input parameters</t>
        </is>
      </c>
      <c r="B14" s="36" t="inlineStr">
        <is>
          <t>Validation — Assessment</t>
        </is>
      </c>
      <c r="C14" s="41" t="n">
        <v>3</v>
      </c>
      <c r="D14" s="41" t="n">
        <v>4</v>
      </c>
      <c r="E14" s="42" t="inlineStr">
        <is>
          <t>CFD boundary conditions shown to match experimental conditions within documented tolerances; uncertainty propagation from inputs to outputs performed</t>
        </is>
      </c>
      <c r="F14" s="41" t="inlineStr">
        <is>
          <t>Geometric fidelity within 0.2 mm between CFD and PDMS model. Identical inflow waveform and fluid properties used. No tuning of CFD to match validation outputs; only inflow amplitude scaling to pump meter (±3%). Outlet RCR matched to rig impedance (±15%). Full LHS uncertainty propagation (N=120) quantifies the sensitivity of QoIs to input parameter uncertainty, with Sobol indices identifying dominant drivers.</t>
        </is>
      </c>
      <c r="G14" s="41" t="inlineStr">
        <is>
          <t>assessed</t>
        </is>
      </c>
    </row>
    <row r="15" ht="15" customHeight="1" s="18">
      <c r="A15" s="36" t="inlineStr">
        <is>
          <t>Output comparison</t>
        </is>
      </c>
      <c r="B15" s="36" t="inlineStr">
        <is>
          <t>Validation — Assessment</t>
        </is>
      </c>
      <c r="C15" s="41" t="n">
        <v>3</v>
      </c>
      <c r="D15" s="41" t="n">
        <v>3</v>
      </c>
      <c r="E15" s="42" t="inlineStr">
        <is>
          <t>Primary QoIs compared quantitatively against experiment; error within acceptable bounds relative to measurement uncertainty</t>
        </is>
      </c>
      <c r="F15" s="41" t="inlineStr">
        <is>
          <t>Cycle-averaged arch ΔP: CFD 18.9 mmHg vs PIV estimate 19.6 mmHg (error -3.6%), within measurement uncertainty band (±1 mmHg). RMS velocity error on three centerlines: 6.1%, comparable to PIV velocity uncertainty of 5%. Jet width at zone 2 within 0.5 mm; vortex core location within 3 mm. Multiple spatial comparison points reported. 95% CI on model ΔP: 18.9±1.1 mmHg. Model-form additive bounds also carried. Comparison is quantitative but limited to a single Re condition (3500); no statistical validation metric (e.g., SSARD) reported.</t>
        </is>
      </c>
      <c r="G15" s="41" t="inlineStr">
        <is>
          <t>assessed</t>
        </is>
      </c>
    </row>
    <row r="16" ht="15" customHeight="1" s="18">
      <c r="A16" s="35" t="inlineStr">
        <is>
          <t>Relevance of the quantities of interest</t>
        </is>
      </c>
      <c r="B16" s="36" t="inlineStr">
        <is>
          <t>Applicability</t>
        </is>
      </c>
      <c r="C16" s="41" t="n">
        <v>3</v>
      </c>
      <c r="D16" s="41" t="n">
        <v>3</v>
      </c>
      <c r="E16" s="42" t="inlineStr">
        <is>
          <t>QoIs (peak τw, arch ΔP) directly support design-ranking decision; both computationally and experimentally measurable</t>
        </is>
      </c>
      <c r="F16" s="41" t="inlineStr">
        <is>
          <t>Peak wall shear rate and arch pressure loss are explicitly identified as the decision metrics for stent-graft ranking and are directly measurable in both CFD and the PIV/transducer rig. These QoIs are linked to the intended use (benchtop prioritization) and are not used for patient-specific hemolysis or structural prediction, consistent with stated limitations.</t>
        </is>
      </c>
      <c r="G16" s="41" t="inlineStr">
        <is>
          <t>assessed</t>
        </is>
      </c>
    </row>
    <row r="17" ht="15" customHeight="1" s="18">
      <c r="A17" s="36" t="inlineStr">
        <is>
          <t>Relevance of the validation activities to the COU</t>
        </is>
      </c>
      <c r="B17" s="36" t="inlineStr">
        <is>
          <t>Applicability</t>
        </is>
      </c>
      <c r="C17" s="41" t="n">
        <v>3</v>
      </c>
      <c r="D17" s="41" t="n">
        <v>3</v>
      </c>
      <c r="E17" s="42" t="inlineStr">
        <is>
          <t>Validation geometry, waveform, fluid, and Re range adequately cover the COU operating envelope; gaps documented and bounded</t>
        </is>
      </c>
      <c r="F17" s="41" t="inlineStr">
        <is>
          <t>Validation performed at Re≈3500 with the same graft geometry, waveform, and fluid properties as the COU. COU spans Re 2000–5000; validation covers mid-range. Extrapolation gap at Re&gt;4000 flagged explicitly; SAS check at Re≈4800 showed no new separation modes but is not a full validation. PIV campaign at Re≈4500 planned for Q4. Rigid wall and no-hemolysis assumptions documented as out-of-scope. Overall relevance is good for the screening decision with the noted high-Re gap.</t>
        </is>
      </c>
      <c r="G17" s="41" t="inlineStr">
        <is>
          <t>assessed</t>
        </is>
      </c>
    </row>
  </sheetData>
  <mergeCells count="2">
    <mergeCell ref="A2:F2"/>
    <mergeCell ref="A1:F1"/>
  </mergeCells>
  <dataValidations count="2">
    <dataValidation sqref="C5:D17" showDropDown="0" showInputMessage="0" showErrorMessage="0" allowBlank="1" type="list" errorStyle="stop" operator="between">
      <formula1>list_factor_level</formula1>
      <formula2>0</formula2>
    </dataValidation>
    <dataValidation sqref="F5:F17" showDropDown="0" showInputMessage="0" showErrorMessage="0" allowBlank="1" type="list" errorStyle="stop" operator="between">
      <formula1>list_assessed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7.xml><?xml version="1.0" encoding="utf-8"?>
<worksheet xmlns="http://schemas.openxmlformats.org/spreadsheetml/2006/main">
  <sheetPr filterMode="0">
    <outlinePr summaryBelow="1" summaryRight="1"/>
    <pageSetUpPr fitToPage="1"/>
  </sheetPr>
  <dimension ref="A1:E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17" min="1" max="1"/>
    <col width="60" customWidth="1" style="17" min="2" max="2"/>
    <col width="22" customWidth="1" style="17" min="3" max="3"/>
    <col width="25" customWidth="1" style="17" min="4" max="4"/>
    <col width="16" customWidth="1" style="17" min="5" max="5"/>
  </cols>
  <sheetData>
    <row r="1" ht="30" customHeight="1" s="18">
      <c r="A1" s="19" t="inlineStr">
        <is>
          <t>Decision — The credibility judgment</t>
        </is>
      </c>
    </row>
    <row r="2" ht="15" customHeight="1" s="18">
      <c r="A2" s="20" t="inlineStr">
        <is>
          <t>Decision Outcome</t>
        </is>
      </c>
      <c r="B2" s="20" t="inlineStr">
        <is>
          <t>Decision Rationale</t>
        </is>
      </c>
      <c r="C2" s="20" t="inlineStr">
        <is>
          <t>Criteria Set</t>
        </is>
      </c>
      <c r="D2" s="20" t="inlineStr">
        <is>
          <t>Decided By</t>
        </is>
      </c>
      <c r="E2" s="20" t="inlineStr">
        <is>
          <t>Decision Date</t>
        </is>
      </c>
    </row>
    <row r="3" ht="22.35" customHeight="1" s="18">
      <c r="A3" s="39" t="inlineStr">
        <is>
          <t>Accepted</t>
        </is>
      </c>
      <c r="B3" s="39" t="inlineStr">
        <is>
          <t>The CFD model demonstrates adequate credibility for its stated context of use — ranking thoracic stent-graft geometries by arch pressure loss and peak wall shear rate for benchtop down-selection. Numerical errors (GCI ≤3.5%, temporal sensitivity &lt;1.1%) are small relative to measurement noise. Validation against PIV data at Re≈3500 shows agreement within 3.6% on primary ΔP QoI and 6.1% RMS velocity error, both within or comparable to experimental uncertainty bounds. Input uncertainty is quantified via LHS (N=120) with Sobol sensitivity indices. Model-form uncertainty is bracketed as additive bounds (SST vs SAS: +7.4% τw, +3.1% ΔP). Known limitations (high-Re extrapolation gap, rigid walls, no hemolysis physics) are explicitly documented. Independent SME review was completed. Acceptance is conditional on: (1) carrying the model-form additive bounds in all ranking comparisons, (2) flagging any design candidate whose discriminating metric falls within the combined uncertainty band, and (3) updating the credibility package after the planned Re≈4500 PIV campaign before extending use beyond Re≈4000.</t>
        </is>
      </c>
      <c r="C3" s="22" t="inlineStr">
        <is>
          <t>Auto-filled from Assessment Summary</t>
        </is>
      </c>
      <c r="D3" s="39" t="inlineStr">
        <is>
          <t>A. Nguyen, L. Serrano (CFD Team); reviewed by J. Patel (external SME)</t>
        </is>
      </c>
      <c r="E3" s="22" t="n"/>
    </row>
    <row r="4" ht="15" customHeight="1" s="18">
      <c r="A4" s="24" t="n"/>
      <c r="B4" s="24" t="n"/>
      <c r="C4" s="25">
        <f>'Assessment Summary'!H4</f>
        <v/>
      </c>
      <c r="D4" s="25" t="n"/>
      <c r="E4" s="33" t="n"/>
    </row>
  </sheetData>
  <mergeCells count="1">
    <mergeCell ref="A1:E1"/>
  </mergeCells>
  <dataValidations count="1">
    <dataValidation sqref="A4" showDropDown="0" showInputMessage="0" showErrorMessage="0" allowBlank="0" error="Select Accepted, Not accepted, or Conditional" type="list" errorStyle="stop" operator="between">
      <formula1>list_decision</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2026-03-31T17:48:36Z</dcterms:created>
  <dcterms:modified xmlns:dcterms="http://purl.org/dc/terms/" xmlns:xsi="http://www.w3.org/2001/XMLSchema-instance" xsi:type="dcterms:W3CDTF">2026-08-06T05:53:23Z</dcterms:modified>
  <cp:revision>0</cp:revision>
</cp:coreProperties>
</file>