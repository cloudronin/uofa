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_Lists" sheetId="3" state="hidden" r:id="rId3"/>
    <sheet xmlns:r="http://schemas.openxmlformats.org/officeDocument/2006/relationships" name="Model &amp; Data"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definedName name="list_assessed" hidden="0" function="0" vbProcedure="0">_Lists!$J$2:$J$4</definedName>
    <definedName name="list_assurance" hidden="0" function="0" vbProcedure="0">_Lists!$D$2:$D$4</definedName>
    <definedName name="list_decision" hidden="0" function="0" vbProcedure="0">_Lists!$K$2:$K$4</definedName>
    <definedName name="list_device_class" hidden="0" function="0" vbProcedure="0">_Lists!$B$2:$B$10</definedName>
    <definedName name="list_entity_type" hidden="0" function="0" vbProcedure="0">_Lists!$F$2:$F$4</definedName>
    <definedName name="list_factor_level" hidden="0" function="0" vbProcedure="0">_Lists!$I$2:$I$5</definedName>
    <definedName name="list_has_uq" hidden="0" function="0" vbProcedure="0">_Lists!$G$2:$G$3</definedName>
    <definedName name="list_mrl" hidden="0" function="0" vbProcedure="0">_Lists!$C$2:$C$6</definedName>
    <definedName name="list_pass_fail" hidden="0" function="0" vbProcedure="0">_Lists!$H$2:$H$5</definedName>
    <definedName name="list_profile" hidden="0" function="0" vbProcedure="0">_Lists!$A$2:$A$3</definedName>
    <definedName name="list_standards" hidden="0" function="0" vbProcedure="0">_Lists!$E$2:$E$5</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1B4F72"/>
      <sz val="14"/>
    </font>
    <font>
      <name val="Arial"/>
      <charset val="1"/>
      <family val="0"/>
      <b val="1"/>
      <color rgb="FFFFFFFF"/>
      <sz val="10"/>
    </font>
    <font>
      <name val="Arial"/>
      <charset val="1"/>
      <family val="0"/>
      <i val="1"/>
      <color rgb="FF666666"/>
      <sz val="9"/>
    </font>
    <font>
      <name val="Arial"/>
      <charset val="1"/>
      <family val="0"/>
      <sz val="10"/>
    </font>
    <font>
      <name val="Arial"/>
      <charset val="1"/>
      <family val="0"/>
      <b val="1"/>
      <sz val="9"/>
    </font>
    <font>
      <name val="Arial"/>
      <charset val="1"/>
      <family val="0"/>
      <sz val="9"/>
    </font>
    <font>
      <name val="Arial"/>
      <charset val="1"/>
      <family val="0"/>
      <b val="1"/>
      <color rgb="FF1B4F72"/>
      <sz val="10"/>
    </font>
    <font>
      <name val="Cambria"/>
      <charset val="1"/>
      <family val="0"/>
      <b val="1"/>
      <sz val="11"/>
    </font>
    <font>
      <name val="Arial"/>
      <charset val="1"/>
      <family val="0"/>
      <i val="1"/>
      <color rgb="FF555555"/>
      <sz val="10"/>
    </font>
    <font>
      <name val="Arial"/>
      <charset val="1"/>
      <family val="0"/>
      <b val="1"/>
      <sz val="10"/>
    </font>
    <font>
      <name val="Arial"/>
      <b val="1"/>
      <color rgb="00FFFFFF"/>
      <sz val="10"/>
    </font>
    <font>
      <name val="Arial"/>
      <color rgb="00666666"/>
      <sz val="9"/>
    </font>
  </fonts>
  <fills count="10">
    <fill>
      <patternFill/>
    </fill>
    <fill>
      <patternFill patternType="gray125"/>
    </fill>
    <fill>
      <patternFill patternType="solid">
        <fgColor rgb="FF1B4F72"/>
        <bgColor rgb="FF333399"/>
      </patternFill>
    </fill>
    <fill>
      <patternFill patternType="solid">
        <fgColor rgb="FFF2F3F4"/>
        <bgColor rgb="FFFFFFFF"/>
      </patternFill>
    </fill>
    <fill>
      <patternFill patternType="solid">
        <fgColor rgb="FFD6EAF8"/>
        <bgColor rgb="FFD5F5E3"/>
      </patternFill>
    </fill>
    <fill>
      <patternFill patternType="solid">
        <fgColor rgb="FFD5F5E3"/>
        <bgColor rgb="FFD6EAF8"/>
      </patternFill>
    </fill>
    <fill>
      <patternFill patternType="solid">
        <fgColor rgb="FFFFFFFF"/>
        <bgColor rgb="FFF2F3F4"/>
      </patternFill>
    </fill>
    <fill>
      <patternFill patternType="solid">
        <fgColor rgb="001B4F72"/>
      </patternFill>
    </fill>
    <fill>
      <patternFill patternType="solid">
        <fgColor rgb="00F2F3F4"/>
      </patternFill>
    </fill>
    <fill>
      <patternFill patternType="solid">
        <fgColor rgb="00FFEB9C"/>
        <bgColor rgb="00FFEB9C"/>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6"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 applyAlignment="1" pivotButton="0" quotePrefix="0" xfId="0">
      <alignment horizontal="general" vertical="top" wrapText="1"/>
    </xf>
    <xf numFmtId="0" fontId="6" fillId="0" borderId="0" pivotButton="0" quotePrefix="0" xfId="0"/>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14" fillId="7" borderId="2" applyAlignment="1" pivotButton="0" quotePrefix="0" xfId="0">
      <alignment horizontal="center" vertical="center" wrapText="1"/>
    </xf>
    <xf numFmtId="0" fontId="15" fillId="8" borderId="2" applyAlignment="1" pivotButton="0" quotePrefix="0" xfId="0">
      <alignment vertical="top" wrapText="1"/>
    </xf>
    <xf numFmtId="0" fontId="6" fillId="9" borderId="1" applyAlignment="1" pivotButton="0" quotePrefix="0" xfId="0">
      <alignment horizontal="general" vertical="top" wrapText="1"/>
    </xf>
    <xf numFmtId="0" fontId="6" fillId="9" borderId="0" pivotButton="0" quotePrefix="0" xfId="0"/>
    <xf numFmtId="0" fontId="7" fillId="9" borderId="1" applyAlignment="1" pivotButton="0" quotePrefix="0" xfId="0">
      <alignment horizontal="general" vertical="top" wrapText="1"/>
    </xf>
    <xf numFmtId="0" fontId="0" fillId="9"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3F4"/>
      <rgbColor rgb="FFD6EA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5F5E3"/>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B4F72"/>
      <rgbColor rgb="FF339966"/>
      <rgbColor rgb="FF003300"/>
      <rgbColor rgb="FF333300"/>
      <rgbColor rgb="FF993300"/>
      <rgbColor rgb="FF993366"/>
      <rgbColor rgb="FF333399"/>
      <rgbColor rgb="FF555555"/>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K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G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H6" authorId="0" shapeId="0">
      <text>
        <t>[Extract] | Confidence: 50%</t>
      </text>
    </comment>
    <comment ref="I6"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filterMode="0">
    <outlinePr summaryBelow="1" summaryRight="1"/>
    <pageSetUpPr fitToPage="1"/>
  </sheetPr>
  <dimension ref="A1:L6"/>
  <sheetViews>
    <sheetView showFormulas="0" showGridLines="1"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30" customWidth="1" style="17" min="2" max="2"/>
    <col width="40" customWidth="1" style="17" min="3" max="3"/>
    <col width="12" customWidth="1" style="17" min="4" max="4"/>
    <col width="14" customWidth="1" style="17" min="5" max="5"/>
    <col width="16" customWidth="1" style="17" min="6" max="6"/>
    <col width="14" customWidth="1" style="17" min="7" max="7"/>
    <col width="20" customWidth="1" style="17" min="8" max="8"/>
    <col width="22" customWidth="1" style="17" min="9" max="9"/>
    <col width="16" customWidth="1" style="17" min="10" max="10"/>
    <col width="30" customWidth="1" style="17" min="11" max="11"/>
  </cols>
  <sheetData>
    <row r="1" ht="30" customHeight="1" s="18">
      <c r="A1" s="19" t="inlineStr">
        <is>
          <t>Unit of Assurance — Assessment Summary</t>
        </is>
      </c>
    </row>
    <row r="2" ht="23.85" customHeight="1" s="18">
      <c r="A2" s="20" t="inlineStr">
        <is>
          <t>Project Name</t>
        </is>
      </c>
      <c r="B2" s="20" t="inlineStr">
        <is>
          <t>COU Name</t>
        </is>
      </c>
      <c r="C2" s="20" t="inlineStr">
        <is>
          <t>COU Description</t>
        </is>
      </c>
      <c r="D2" s="20" t="inlineStr">
        <is>
          <t>Profile</t>
        </is>
      </c>
      <c r="E2" s="20" t="inlineStr">
        <is>
          <t>Device Class</t>
        </is>
      </c>
      <c r="F2" s="20" t="inlineStr">
        <is>
          <t>Model Risk Level</t>
        </is>
      </c>
      <c r="G2" s="20" t="inlineStr">
        <is>
          <t>Assurance Level</t>
        </is>
      </c>
      <c r="H2" s="20" t="inlineStr">
        <is>
          <t>Standards Reference</t>
        </is>
      </c>
      <c r="I2" s="20" t="inlineStr">
        <is>
          <t>Assessor Name</t>
        </is>
      </c>
      <c r="J2" s="20" t="inlineStr">
        <is>
          <t>Assessment Date</t>
        </is>
      </c>
      <c r="K2" s="20" t="inlineStr">
        <is>
          <t>Source Document</t>
        </is>
      </c>
      <c r="L2" s="21" t="inlineStr">
        <is>
          <t>Has UQ?</t>
        </is>
      </c>
    </row>
    <row r="3" ht="32.8" customHeight="1" s="18">
      <c r="A3" s="39" t="inlineStr">
        <is>
          <t>Femoral Stem FEA — Design Freeze V&amp;V</t>
        </is>
      </c>
      <c r="B3" s="39" t="inlineStr">
        <is>
          <t>Predict cortical stress/strain and stem–bone micromotion under immediate post-op single-leg stance to support design freeze decision</t>
        </is>
      </c>
      <c r="C3" s="39" t="inlineStr">
        <is>
          <t>Nonlinear contact FEA (Abaqus/Standard 2023.HF2) of a collared Ti-6Al-4V femoral stem is used to demonstrate that cortical stress/strain and stem–bone interface micromotion under 2.2 kN single-leg stance loading remain within clinical safety targets for the immediate post-operative condition. The model supports a design freeze decision and is not used for long-term remodeling or fatigue life prediction. Valid for BMI 20–35, normal bone (T-score &gt; −2.0), and immediate post-op conditions.</t>
        </is>
      </c>
      <c r="D3" s="39" t="inlineStr">
        <is>
          <t>Complete</t>
        </is>
      </c>
      <c r="E3" s="39" t="inlineStr">
        <is>
          <t>Class III</t>
        </is>
      </c>
      <c r="F3" s="39" t="inlineStr">
        <is>
          <t>MRL 4</t>
        </is>
      </c>
      <c r="G3" s="39" t="inlineStr">
        <is>
          <t>High</t>
        </is>
      </c>
      <c r="H3" s="39" t="inlineStr">
        <is>
          <t>ASME-VV40-2018</t>
        </is>
      </c>
      <c r="I3" s="39" t="inlineStr">
        <is>
          <t>Elena Torres</t>
        </is>
      </c>
      <c r="J3" s="22" t="inlineStr">
        <is>
          <t>Date of this assessment (YYYY-MM-DD)</t>
        </is>
      </c>
      <c r="K3" s="39" t="inlineStr">
        <is>
          <t>report.md</t>
        </is>
      </c>
      <c r="L3" s="40" t="inlineStr">
        <is>
          <t>Yes</t>
        </is>
      </c>
    </row>
    <row r="4" ht="15" customHeight="1" s="18">
      <c r="A4" s="24" t="n"/>
      <c r="B4" s="24" t="n"/>
      <c r="C4" s="25" t="n"/>
      <c r="D4" s="24" t="n"/>
      <c r="E4" s="25" t="n"/>
      <c r="F4" s="25" t="n"/>
      <c r="G4" s="25" t="n"/>
      <c r="H4" s="25" t="n"/>
      <c r="I4" s="24" t="n"/>
      <c r="J4" s="24" t="n"/>
      <c r="K4" s="25" t="n"/>
    </row>
    <row r="6" ht="15" customHeight="1" s="18">
      <c r="A6" s="26" t="inlineStr">
        <is>
          <t>Legend:</t>
        </is>
      </c>
      <c r="C6" s="27" t="inlineStr">
        <is>
          <t>Required (Minimal)</t>
        </is>
      </c>
      <c r="D6" s="28" t="inlineStr">
        <is>
          <t>Required (Complete)</t>
        </is>
      </c>
      <c r="E6" s="29" t="inlineStr">
        <is>
          <t>Optional</t>
        </is>
      </c>
    </row>
  </sheetData>
  <mergeCells count="2">
    <mergeCell ref="A1:K1"/>
    <mergeCell ref="A6:B6"/>
  </mergeCells>
  <dataValidations count="5">
    <dataValidation sqref="D4" showDropDown="0" showInputMessage="0" showErrorMessage="0" allowBlank="0" error="Select Minimal or Complete" type="list" errorStyle="stop" operator="between">
      <formula1>list_profile</formula1>
      <formula2>0</formula2>
    </dataValidation>
    <dataValidation sqref="E4" showDropDown="0" showInputMessage="0" showErrorMessage="0" allowBlank="1" type="list" errorStyle="stop" operator="between">
      <formula1>list_device_class</formula1>
      <formula2>0</formula2>
    </dataValidation>
    <dataValidation sqref="F4" showDropDown="0" showInputMessage="0" showErrorMessage="0" allowBlank="1" type="list" errorStyle="stop" operator="between">
      <formula1>list_mrl</formula1>
      <formula2>0</formula2>
    </dataValidation>
    <dataValidation sqref="G4" showDropDown="0" showInputMessage="0" showErrorMessage="0" allowBlank="1" type="list" errorStyle="stop" operator="between">
      <formula1>list_assurance</formula1>
      <formula2>0</formula2>
    </dataValidation>
    <dataValidation sqref="H4" showDropDown="0" showInputMessage="0" showErrorMessage="0" allowBlank="1" type="list" errorStyle="stop" operator="between">
      <formula1>list_standards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1"/>
  </sheetPr>
  <dimension ref="A1:B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7" min="1" max="1"/>
    <col width="90" customWidth="1" style="17" min="2" max="2"/>
  </cols>
  <sheetData>
    <row r="1" ht="30" customHeight="1" s="18">
      <c r="A1" s="19" t="inlineStr">
        <is>
          <t>UofA Excel Template — Instructions</t>
        </is>
      </c>
    </row>
    <row r="3" ht="39.75" customHeight="1" s="18">
      <c r="A3" s="30" t="inlineStr">
        <is>
          <t>What is this?</t>
        </is>
      </c>
      <c r="B3" s="31" t="inlineStr">
        <is>
          <t>This workbook captures a credibility assessment for one Context of Use (COU). Fill it out, then run `uofa import` to convert it to a machine-verifiable evidence package.</t>
        </is>
      </c>
    </row>
    <row r="4" ht="39.75" customHeight="1" s="18">
      <c r="A4" s="30" t="inlineStr">
        <is>
          <t>One workbook = one COU</t>
        </is>
      </c>
      <c r="B4" s="31" t="inlineStr">
        <is>
          <t>If your project has multiple COUs (e.g., different device classes or risk levels for the same model), create a separate workbook for each.</t>
        </is>
      </c>
    </row>
    <row r="5" ht="39.75" customHeight="1" s="18">
      <c r="A5" s="30" t="inlineStr">
        <is>
          <t>Profiles</t>
        </is>
      </c>
      <c r="B5" s="31" t="inlineStr">
        <is>
          <t>Minimal (7 fields, lightweight audit trail) is for early-stage projects or live pipeline capture. Complete (full V&amp;V 40 assessment) is for regulatory submissions.</t>
        </is>
      </c>
    </row>
    <row r="6" ht="39.75" customHeight="1" s="18">
      <c r="A6" s="30" t="inlineStr">
        <is>
          <t>Color coding</t>
        </is>
      </c>
      <c r="B6" s="31" t="inlineStr">
        <is>
          <t>Blue cells = required for Minimal profile. Green cells = required for Complete profile. White cells = optional.</t>
        </is>
      </c>
    </row>
    <row r="7" ht="39.75" customHeight="1" s="18">
      <c r="A7" s="30" t="inlineStr">
        <is>
          <t>Credibility Factors</t>
        </is>
      </c>
      <c r="B7" s="31" t="inlineStr">
        <is>
          <t>Sheet 4 is pre-populated with all 13 V&amp;V 40 factors from Table 5-1. You do not need to assess all 13 — set Assessed = "No" or "N/A" for factors not relevant to your COU.</t>
        </is>
      </c>
    </row>
    <row r="8" ht="39.75" customHeight="1" s="18">
      <c r="A8" s="30" t="inlineStr">
        <is>
          <t>Dropdowns</t>
        </is>
      </c>
      <c r="B8" s="31" t="inlineStr">
        <is>
          <t>Most constrained fields use dropdown lists. If you need a custom value not in the dropdown, type it directly (the validation will warn but not prevent entry).</t>
        </is>
      </c>
    </row>
    <row r="9" ht="39.75" customHeight="1" s="18">
      <c r="A9" s="30" t="inlineStr">
        <is>
          <t>After filling out</t>
        </is>
      </c>
      <c r="B9" s="31" t="inlineStr">
        <is>
          <t>Run: uofa import your-file.xlsx --sign --key keys/your.key --check</t>
        </is>
      </c>
    </row>
    <row r="10" ht="39.75" customHeight="1" s="18">
      <c r="A10" s="30" t="inlineStr">
        <is>
          <t>What the tool checks</t>
        </is>
      </c>
      <c r="B10" s="31" t="inlineStr">
        <is>
          <t>Gate 1 (SHACL): Are all required fields present? Gate 2 (Jena rules): Are there quality gaps (weakeners)? Gate 3 (Integrity): Is the hash and signature valid?</t>
        </is>
      </c>
    </row>
    <row r="11" ht="39.75" customHeight="1" s="18">
      <c r="A11" s="30" t="inlineStr">
        <is>
          <t>More info</t>
        </is>
      </c>
      <c r="B11" s="31" t="inlineStr">
        <is>
          <t>https://crediblesimulation.com | https://github.com/cloudronin/uofa</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18">
      <c r="A1" s="32" t="inlineStr">
        <is>
          <t>Profile</t>
        </is>
      </c>
      <c r="B1" s="32" t="inlineStr">
        <is>
          <t>Device Class</t>
        </is>
      </c>
      <c r="C1" s="32" t="inlineStr">
        <is>
          <t>Model Risk Level</t>
        </is>
      </c>
      <c r="D1" s="32" t="inlineStr">
        <is>
          <t>Assurance Level</t>
        </is>
      </c>
      <c r="E1" s="32" t="inlineStr">
        <is>
          <t>Standards Reference</t>
        </is>
      </c>
      <c r="F1" s="32" t="inlineStr">
        <is>
          <t>Entity Type</t>
        </is>
      </c>
      <c r="G1" s="32" t="inlineStr">
        <is>
          <t>Has UQ</t>
        </is>
      </c>
      <c r="H1" s="32" t="inlineStr">
        <is>
          <t>Pass/Fail</t>
        </is>
      </c>
      <c r="I1" s="32" t="inlineStr">
        <is>
          <t>Factor Level (1-5)</t>
        </is>
      </c>
      <c r="J1" s="32" t="inlineStr">
        <is>
          <t>Factor Status</t>
        </is>
      </c>
      <c r="K1" s="32" t="inlineStr">
        <is>
          <t>Decision Outcome</t>
        </is>
      </c>
      <c r="L1" s="17" t="inlineStr">
        <is>
          <t>Has UQ (COU-level)</t>
        </is>
      </c>
    </row>
    <row r="2" ht="15" customHeight="1" s="18">
      <c r="A2" s="17" t="inlineStr">
        <is>
          <t>Minimal</t>
        </is>
      </c>
      <c r="B2" s="17" t="inlineStr">
        <is>
          <t>Class I</t>
        </is>
      </c>
      <c r="C2" s="17" t="inlineStr">
        <is>
          <t>MRL 1</t>
        </is>
      </c>
      <c r="D2" s="17" t="inlineStr">
        <is>
          <t>Low</t>
        </is>
      </c>
      <c r="E2" s="17" t="inlineStr">
        <is>
          <t>ASME-VV40-2018</t>
        </is>
      </c>
      <c r="F2" s="17" t="inlineStr">
        <is>
          <t>Requirement</t>
        </is>
      </c>
      <c r="G2" s="17" t="inlineStr">
        <is>
          <t>Yes</t>
        </is>
      </c>
      <c r="H2" s="17" t="inlineStr">
        <is>
          <t>Pass</t>
        </is>
      </c>
      <c r="I2" s="17" t="n">
        <v>1</v>
      </c>
      <c r="J2" s="17" t="inlineStr">
        <is>
          <t>assessed</t>
        </is>
      </c>
      <c r="K2" s="17" t="inlineStr">
        <is>
          <t>Accepted</t>
        </is>
      </c>
      <c r="L2" s="17" t="inlineStr">
        <is>
          <t>Yes</t>
        </is>
      </c>
    </row>
    <row r="3" ht="15" customHeight="1" s="18">
      <c r="A3" s="17" t="inlineStr">
        <is>
          <t>Complete</t>
        </is>
      </c>
      <c r="B3" s="17" t="inlineStr">
        <is>
          <t>Class II</t>
        </is>
      </c>
      <c r="C3" s="17" t="inlineStr">
        <is>
          <t>MRL 2</t>
        </is>
      </c>
      <c r="D3" s="17" t="inlineStr">
        <is>
          <t>Medium</t>
        </is>
      </c>
      <c r="E3" s="17" t="inlineStr">
        <is>
          <t>NASA-STD-7009B</t>
        </is>
      </c>
      <c r="F3" s="17" t="inlineStr">
        <is>
          <t>Model</t>
        </is>
      </c>
      <c r="G3" s="17" t="inlineStr">
        <is>
          <t>No</t>
        </is>
      </c>
      <c r="H3" s="17" t="inlineStr">
        <is>
          <t>Fail</t>
        </is>
      </c>
      <c r="I3" s="17" t="n">
        <v>2</v>
      </c>
      <c r="J3" s="17" t="inlineStr">
        <is>
          <t>not-assessed</t>
        </is>
      </c>
      <c r="K3" s="17" t="inlineStr">
        <is>
          <t>Not accepted</t>
        </is>
      </c>
      <c r="L3" s="17" t="inlineStr">
        <is>
          <t>No</t>
        </is>
      </c>
    </row>
    <row r="4" ht="15" customHeight="1" s="18">
      <c r="B4" s="17" t="inlineStr">
        <is>
          <t>Class III</t>
        </is>
      </c>
      <c r="C4" s="17" t="inlineStr">
        <is>
          <t>MRL 3</t>
        </is>
      </c>
      <c r="D4" s="17" t="inlineStr">
        <is>
          <t>High</t>
        </is>
      </c>
      <c r="E4" s="17" t="inlineStr">
        <is>
          <t>FDA-2023-CMS</t>
        </is>
      </c>
      <c r="F4" s="17" t="inlineStr">
        <is>
          <t>Dataset</t>
        </is>
      </c>
      <c r="H4" s="17" t="inlineStr">
        <is>
          <t>Inconclusive</t>
        </is>
      </c>
      <c r="I4" s="17" t="n">
        <v>3</v>
      </c>
      <c r="J4" s="17" t="inlineStr">
        <is>
          <t>scoped-out</t>
        </is>
      </c>
      <c r="K4" s="17" t="inlineStr">
        <is>
          <t>Conditional</t>
        </is>
      </c>
    </row>
    <row r="5" ht="15" customHeight="1" s="18">
      <c r="B5" s="17" t="inlineStr">
        <is>
          <t>Category A</t>
        </is>
      </c>
      <c r="C5" s="17" t="inlineStr">
        <is>
          <t>MRL 4</t>
        </is>
      </c>
      <c r="E5" s="17" t="inlineStr">
        <is>
          <t>Custom</t>
        </is>
      </c>
      <c r="H5" s="17" t="inlineStr">
        <is>
          <t>N/A</t>
        </is>
      </c>
      <c r="I5" s="17" t="n">
        <v>4</v>
      </c>
      <c r="J5" s="17" t="inlineStr">
        <is>
          <t>not-applicable</t>
        </is>
      </c>
    </row>
    <row r="6" ht="15" customHeight="1" s="18">
      <c r="B6" s="17" t="inlineStr">
        <is>
          <t>Category B</t>
        </is>
      </c>
      <c r="C6" s="17" t="inlineStr">
        <is>
          <t>MRL 5</t>
        </is>
      </c>
      <c r="I6" s="17" t="n">
        <v>5</v>
      </c>
    </row>
    <row r="7" ht="15" customHeight="1" s="18">
      <c r="B7" s="17" t="inlineStr">
        <is>
          <t>Category C</t>
        </is>
      </c>
    </row>
    <row r="8" ht="15" customHeight="1" s="18">
      <c r="B8" s="17" t="inlineStr">
        <is>
          <t>Category D</t>
        </is>
      </c>
    </row>
    <row r="9" ht="15" customHeight="1" s="18">
      <c r="B9" s="17" t="inlineStr">
        <is>
          <t>Category E</t>
        </is>
      </c>
    </row>
    <row r="10" ht="15" customHeight="1" s="18">
      <c r="B10" s="17" t="inlineStr">
        <is>
          <t>Other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7" min="1" max="1"/>
    <col width="35" customWidth="1" style="17" min="2" max="2"/>
    <col width="40" customWidth="1" style="17" min="3" max="3"/>
    <col width="45" customWidth="1" style="17" min="4" max="4"/>
    <col width="12" customWidth="1" style="17" min="5" max="5"/>
    <col width="20" customWidth="1" style="17" min="6" max="6"/>
  </cols>
  <sheetData>
    <row r="1" ht="30" customHeight="1" s="18">
      <c r="A1" s="19" t="inlineStr">
        <is>
          <t>Model &amp; Data — What you modeled and compared against</t>
        </is>
      </c>
    </row>
    <row r="2" ht="15" customHeight="1" s="18">
      <c r="A2" s="20" t="inlineStr">
        <is>
          <t>Entity Type</t>
        </is>
      </c>
      <c r="B2" s="20" t="inlineStr">
        <is>
          <t>Name</t>
        </is>
      </c>
      <c r="C2" s="20" t="inlineStr">
        <is>
          <t>Identifier / URI</t>
        </is>
      </c>
      <c r="D2" s="20" t="inlineStr">
        <is>
          <t>Description</t>
        </is>
      </c>
      <c r="E2" s="20" t="inlineStr">
        <is>
          <t>Version</t>
        </is>
      </c>
      <c r="F2" s="20" t="inlineStr">
        <is>
          <t>Source</t>
        </is>
      </c>
    </row>
    <row r="3" ht="32.8" customHeight="1" s="18">
      <c r="A3" s="39" t="inlineStr">
        <is>
          <t>Requirement</t>
        </is>
      </c>
      <c r="B3" s="39" t="inlineStr">
        <is>
          <t>Cortical Stress and Micromotion Safety Requirement</t>
        </is>
      </c>
      <c r="C3" s="22" t="inlineStr">
        <is>
          <t>Stable URI or local ID</t>
        </is>
      </c>
      <c r="D3" s="39" t="inlineStr">
        <is>
          <t>Peak cortical von Mises stress must remain below 120 MPa and interface micromotion must remain below 50 μm (95th percentile under uncertainty) to ensure acceptable periprosthetic fracture risk and osseointegration potential for immediate post-op single-leg stance</t>
        </is>
      </c>
      <c r="E3" s="22" t="inlineStr">
        <is>
          <t>Version number (optional)</t>
        </is>
      </c>
      <c r="F3" s="22" t="inlineStr">
        <is>
          <t>Where this came from (optional)</t>
        </is>
      </c>
    </row>
    <row r="4" ht="15" customHeight="1" s="18">
      <c r="A4" s="41" t="inlineStr">
        <is>
          <t>Model</t>
        </is>
      </c>
      <c r="B4" s="41" t="inlineStr">
        <is>
          <t>MD-StemFEA v1.6.2</t>
        </is>
      </c>
      <c r="C4" s="24" t="n"/>
      <c r="D4" s="41" t="inlineStr">
        <is>
          <t>Abaqus/Standard 2023.HF2 nonlinear contact FEA model of collared Ti-6Al-4V femoral stem with subject-specific heterogeneous bone moduli mapped from CT; frictional surface-to-surface contact; 1.8M C3D10 elements</t>
        </is>
      </c>
      <c r="E4" s="33" t="n"/>
      <c r="F4" s="33" t="n"/>
    </row>
    <row r="5" ht="15" customHeight="1" s="18">
      <c r="A5" s="41" t="inlineStr">
        <is>
          <t>Dataset</t>
        </is>
      </c>
      <c r="B5" s="41" t="inlineStr">
        <is>
          <t>LD-ORS-2026-07</t>
        </is>
      </c>
      <c r="C5" s="24" t="n"/>
      <c r="D5" s="41" t="inlineStr">
        <is>
          <t>Cadaveric femur experimental dataset — 5 specimens, 12 strain gauges and DIC, ISO 7206-4 analog loading; used for validation of medial calcar principal strain and interface micromotion predictions</t>
        </is>
      </c>
      <c r="E5" s="33" t="n"/>
      <c r="F5" s="33" t="n"/>
    </row>
    <row r="6" ht="15" customHeight="1" s="18">
      <c r="A6" s="41" t="inlineStr">
        <is>
          <t>Dataset</t>
        </is>
      </c>
      <c r="B6" s="41" t="inlineStr">
        <is>
          <t>MC-Stem-v1.6.x / RL-2026-07-19 to RL-2026-08-01</t>
        </is>
      </c>
      <c r="C6" s="24" t="n"/>
      <c r="D6" s="41" t="inlineStr">
        <is>
          <t>Model configuration files and run logs for all simulation cases; all inputs and outputs unit-checked (SI) and archived with full provenance traceability</t>
        </is>
      </c>
      <c r="E6" s="33" t="n"/>
      <c r="F6" s="33" t="n"/>
    </row>
    <row r="7" ht="15" customHeight="1" s="18">
      <c r="A7" s="24" t="n"/>
      <c r="B7" s="24" t="n"/>
      <c r="C7" s="24" t="n"/>
      <c r="D7" s="33" t="n"/>
      <c r="E7" s="33" t="n"/>
      <c r="F7" s="33" t="n"/>
    </row>
    <row r="8" ht="15" customHeight="1" s="18">
      <c r="A8" s="24" t="n"/>
      <c r="B8" s="24" t="n"/>
      <c r="C8" s="24" t="n"/>
      <c r="D8" s="33" t="n"/>
      <c r="E8" s="33" t="n"/>
      <c r="F8" s="33" t="n"/>
    </row>
    <row r="9" ht="15" customHeight="1" s="18">
      <c r="A9" s="24" t="n"/>
      <c r="B9" s="24" t="n"/>
      <c r="C9" s="24" t="n"/>
      <c r="D9" s="33" t="n"/>
      <c r="E9" s="33" t="n"/>
      <c r="F9" s="33" t="n"/>
    </row>
    <row r="10" ht="15" customHeight="1" s="18">
      <c r="A10" s="24" t="n"/>
      <c r="B10" s="24" t="n"/>
      <c r="C10" s="24" t="n"/>
      <c r="D10" s="33" t="n"/>
      <c r="E10" s="33" t="n"/>
      <c r="F10" s="33" t="n"/>
    </row>
    <row r="11" ht="15" customHeight="1" s="18">
      <c r="A11" s="24" t="n"/>
      <c r="B11" s="24" t="n"/>
      <c r="C11" s="24" t="n"/>
      <c r="D11" s="33" t="n"/>
      <c r="E11" s="33" t="n"/>
      <c r="F11" s="33" t="n"/>
    </row>
    <row r="12" ht="15" customHeight="1" s="18">
      <c r="A12" s="24" t="n"/>
      <c r="B12" s="24" t="n"/>
      <c r="C12" s="24" t="n"/>
      <c r="D12" s="33" t="n"/>
      <c r="E12" s="33" t="n"/>
      <c r="F12" s="33" t="n"/>
    </row>
    <row r="13" ht="15" customHeight="1" s="18">
      <c r="A13" s="24" t="n"/>
      <c r="B13" s="24" t="n"/>
      <c r="C13" s="24" t="n"/>
      <c r="D13" s="33" t="n"/>
      <c r="E13" s="33" t="n"/>
      <c r="F13" s="33" t="n"/>
    </row>
  </sheetData>
  <mergeCells count="1">
    <mergeCell ref="A1:F1"/>
  </mergeCells>
  <dataValidations count="1">
    <dataValidation sqref="A4:A13" showDropDown="0" showInputMessage="0" showErrorMessage="0" allowBlank="1" type="list" errorStyle="stop" operator="between">
      <formula1>list_entity_type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1"/>
  </sheetPr>
  <dimension ref="A1:I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5" customWidth="1" style="17" min="1" max="1"/>
    <col width="35" customWidth="1" style="17" min="2" max="2"/>
    <col width="45" customWidth="1" style="17" min="3" max="3"/>
    <col width="35" customWidth="1" style="17" min="4" max="4"/>
    <col width="10" customWidth="1" style="17" min="5" max="5"/>
    <col width="30" customWidth="1" style="17" min="6" max="6"/>
    <col width="18" customWidth="1" style="17" min="7" max="7"/>
    <col width="14" customWidth="1" style="17" min="8" max="8"/>
  </cols>
  <sheetData>
    <row r="1" ht="30" customHeight="1" s="18">
      <c r="A1" s="19" t="inlineStr">
        <is>
          <t>Validation Results — What you found when you tested the model</t>
        </is>
      </c>
    </row>
    <row r="2" ht="15" customHeight="1" s="18">
      <c r="A2" s="20" t="inlineStr">
        <is>
          <t>Result Name</t>
        </is>
      </c>
      <c r="B2" s="20" t="inlineStr">
        <is>
          <t>Identifier / URI</t>
        </is>
      </c>
      <c r="C2" s="20" t="inlineStr">
        <is>
          <t>Description</t>
        </is>
      </c>
      <c r="D2" s="20" t="inlineStr">
        <is>
          <t>Compares To</t>
        </is>
      </c>
      <c r="E2" s="20" t="inlineStr">
        <is>
          <t>Has UQ?</t>
        </is>
      </c>
      <c r="F2" s="20" t="inlineStr">
        <is>
          <t>UQ Method</t>
        </is>
      </c>
      <c r="G2" s="20" t="inlineStr">
        <is>
          <t>Metric Value</t>
        </is>
      </c>
      <c r="H2" s="20" t="inlineStr">
        <is>
          <t>Pass / Fail</t>
        </is>
      </c>
    </row>
    <row r="3" ht="32.8" customHeight="1" s="18">
      <c r="A3" s="39" t="inlineStr">
        <is>
          <t>Strain Gauge and DIC Comparison — Cadaveric Femur Bench Test</t>
        </is>
      </c>
      <c r="B3" s="39" t="inlineStr">
        <is>
          <t>ValidationResult</t>
        </is>
      </c>
      <c r="C3" s="22" t="inlineStr">
        <is>
          <t>What was done, what was found</t>
        </is>
      </c>
      <c r="D3" s="39" t="inlineStr">
        <is>
          <t>FEA-predicted medial calcar principal strain and interface micromotion compared against physical bench test data from 5 cadaveric femurs instrumented with 12 strain gauges and DIC, under loading conditions mirroring the simulation (ISO 7206-4 analog, same angles, potting, and fixture compliance)</t>
        </is>
      </c>
      <c r="E3" s="39" t="inlineStr">
        <is>
          <t>Experimental measurements from Lab dataset LD-ORS-2026-07</t>
        </is>
      </c>
      <c r="F3" s="39" t="inlineStr">
        <is>
          <t>Yes</t>
        </is>
      </c>
      <c r="G3" s="39" t="inlineStr">
        <is>
          <t>Measurement uncertainty quantified (±5 με gauges, ±3% DIC); alignment errors verified by photogrammetry (&lt;0.5°)</t>
        </is>
      </c>
      <c r="H3" s="39" t="inlineStr">
        <is>
          <t>Medial calcar RMS error 7.4%, mean signed error +1.2%; lateral cortex RMS 9.1%; R²=0.93 across all gauges; micromotion MAPE 8.6%; no load-level bias (p=0.41)</t>
        </is>
      </c>
      <c r="I3" s="42" t="inlineStr">
        <is>
          <t>Pass</t>
        </is>
      </c>
    </row>
    <row r="4" ht="15" customHeight="1" s="18">
      <c r="A4" s="41" t="inlineStr">
        <is>
          <t>Mesh Convergence Study — GCI Analysis</t>
        </is>
      </c>
      <c r="B4" s="41" t="inlineStr">
        <is>
          <t>ValidationResult</t>
        </is>
      </c>
      <c r="C4" s="33" t="n"/>
      <c r="D4" s="41" t="inlineStr">
        <is>
          <t>Mesh refinement study at calcar and distal stem shoulder using three mesh densities (0.8M, 1.8M, 4.2M C3D10 elements); Richardson extrapolation and GCI computed for peak von Mises stress; primary QoIs checked across finest two meshes</t>
        </is>
      </c>
      <c r="E4" s="41" t="inlineStr">
        <is>
          <t>Richardson extrapolation estimate (~94 MPa) and analytical asymptotic value</t>
        </is>
      </c>
      <c r="F4" s="41" t="inlineStr">
        <is>
          <t>Yes</t>
        </is>
      </c>
      <c r="G4" s="41" t="inlineStr">
        <is>
          <t>Richardson extrapolation; Grid Convergence Index (GCI)</t>
        </is>
      </c>
      <c r="H4" s="41" t="inlineStr">
        <is>
          <t>Peak von Mises 88.3/92.1/93.4 MPa across meshes; Richardson extrapolation ~94 MPa; fine-mesh GCI ~2.2% (p≈1.8); primary QoIs vary &lt;3% between two finest meshes</t>
        </is>
      </c>
      <c r="I4" s="42" t="inlineStr">
        <is>
          <t>Pass</t>
        </is>
      </c>
    </row>
    <row r="5" ht="15" customHeight="1" s="18">
      <c r="A5" s="41" t="inlineStr">
        <is>
          <t>Uncertainty Propagation — Latin Hypercube Sampling</t>
        </is>
      </c>
      <c r="B5" s="41" t="inlineStr">
        <is>
          <t>ValidationResult</t>
        </is>
      </c>
      <c r="C5" s="33" t="n"/>
      <c r="D5" s="41" t="inlineStr">
        <is>
          <t>500-sample Latin hypercube study varying cortical modulus, trabecular modulus, friction coefficient, stem placement, load magnitude, and CT-to-modulus slope to characterize 95th percentile outputs and Sobol sensitivity indices</t>
        </is>
      </c>
      <c r="E5" s="41" t="inlineStr">
        <is>
          <t>Acceptance limits: peak cortical von Mises &lt;120 MPa; interface micromotion &lt;50 μm</t>
        </is>
      </c>
      <c r="F5" s="41" t="inlineStr">
        <is>
          <t>Yes</t>
        </is>
      </c>
      <c r="G5" s="41" t="inlineStr">
        <is>
          <t>Latin hypercube sampling (500 samples); first-order Sobol sensitivity indices</t>
        </is>
      </c>
      <c r="H5" s="41" t="inlineStr">
        <is>
          <t>95th percentile peak cortical von Mises = 105 MPa (margin ~12% to 120 MPa limit); 95th percentile micromotion = 41 μm (&lt;50 μm target); dominant Sobol index: stem placement 0.41</t>
        </is>
      </c>
      <c r="I5" s="42" t="inlineStr">
        <is>
          <t>Pass</t>
        </is>
      </c>
    </row>
    <row r="6" ht="15" customHeight="1" s="18">
      <c r="A6" s="41" t="inlineStr">
        <is>
          <t>Code Verification — Benchmark Problems</t>
        </is>
      </c>
      <c r="B6" s="41" t="inlineStr">
        <is>
          <t>ValidationResult</t>
        </is>
      </c>
      <c r="C6" s="33" t="n"/>
      <c r="D6" s="41" t="inlineStr">
        <is>
          <t>Element-level and benchmark verification tests: linear patch test, three-point bending vs Euler-Bernoulli analytical solution, and Hertzian contact pressure distribution vs analytical solution</t>
        </is>
      </c>
      <c r="E6" s="41" t="inlineStr">
        <is>
          <t>Analytical solutions (Euler-Bernoulli beam theory, Hertzian contact)</t>
        </is>
      </c>
      <c r="F6" s="41" t="inlineStr">
        <is>
          <t>No</t>
        </is>
      </c>
      <c r="G6" s="33" t="n"/>
      <c r="H6" s="41" t="inlineStr">
        <is>
          <t>Patch test error &lt;0.5%; bending error &lt;1.0%; Hertzian contact error &lt;3%</t>
        </is>
      </c>
      <c r="I6" s="42" t="inlineStr">
        <is>
          <t>Pass</t>
        </is>
      </c>
    </row>
    <row r="7" ht="15" customHeight="1" s="18">
      <c r="A7" s="24" t="n"/>
      <c r="B7" s="24" t="n"/>
      <c r="C7" s="33" t="n"/>
      <c r="D7" s="33" t="n"/>
      <c r="E7" s="25" t="n"/>
      <c r="F7" s="33" t="n"/>
      <c r="G7" s="33" t="n"/>
      <c r="H7" s="33" t="n"/>
    </row>
    <row r="8" ht="15" customHeight="1" s="18">
      <c r="A8" s="24" t="n"/>
      <c r="B8" s="24" t="n"/>
      <c r="C8" s="33" t="n"/>
      <c r="D8" s="33" t="n"/>
      <c r="E8" s="25" t="n"/>
      <c r="F8" s="33" t="n"/>
      <c r="G8" s="33" t="n"/>
      <c r="H8" s="33" t="n"/>
    </row>
    <row r="9" ht="15" customHeight="1" s="18">
      <c r="A9" s="24" t="n"/>
      <c r="B9" s="24" t="n"/>
      <c r="C9" s="33" t="n"/>
      <c r="D9" s="33" t="n"/>
      <c r="E9" s="25" t="n"/>
      <c r="F9" s="33" t="n"/>
      <c r="G9" s="33" t="n"/>
      <c r="H9" s="33" t="n"/>
    </row>
    <row r="10" ht="15" customHeight="1" s="18">
      <c r="A10" s="24" t="n"/>
      <c r="B10" s="24" t="n"/>
      <c r="C10" s="33" t="n"/>
      <c r="D10" s="33" t="n"/>
      <c r="E10" s="25" t="n"/>
      <c r="F10" s="33" t="n"/>
      <c r="G10" s="33" t="n"/>
      <c r="H10" s="33" t="n"/>
    </row>
    <row r="11" ht="15" customHeight="1" s="18">
      <c r="A11" s="24" t="n"/>
      <c r="B11" s="24" t="n"/>
      <c r="C11" s="33" t="n"/>
      <c r="D11" s="33" t="n"/>
      <c r="E11" s="25" t="n"/>
      <c r="F11" s="33" t="n"/>
      <c r="G11" s="33" t="n"/>
      <c r="H11" s="33" t="n"/>
    </row>
    <row r="12" ht="15" customHeight="1" s="18">
      <c r="A12" s="24" t="n"/>
      <c r="B12" s="24" t="n"/>
      <c r="C12" s="33" t="n"/>
      <c r="D12" s="33" t="n"/>
      <c r="E12" s="25" t="n"/>
      <c r="F12" s="33" t="n"/>
      <c r="G12" s="33" t="n"/>
      <c r="H12" s="33" t="n"/>
    </row>
    <row r="13" ht="15" customHeight="1" s="18">
      <c r="A13" s="24" t="n"/>
      <c r="B13" s="24" t="n"/>
      <c r="C13" s="33" t="n"/>
      <c r="D13" s="33" t="n"/>
      <c r="E13" s="25" t="n"/>
      <c r="F13" s="33" t="n"/>
      <c r="G13" s="33" t="n"/>
      <c r="H13" s="33" t="n"/>
    </row>
  </sheetData>
  <mergeCells count="1">
    <mergeCell ref="A1:H1"/>
  </mergeCells>
  <dataValidations count="2">
    <dataValidation sqref="E4:E13" showDropDown="0" showInputMessage="0" showErrorMessage="0" allowBlank="1" type="list" errorStyle="stop" operator="between">
      <formula1>list_has_uq</formula1>
      <formula2>0</formula2>
    </dataValidation>
    <dataValidation sqref="H4:H13" showDropDown="0" showInputMessage="0" showErrorMessage="0" allowBlank="1" type="list" errorStyle="stop" operator="between">
      <formula1>list_pass_fail</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1"/>
  </sheetPr>
  <dimension ref="A1:H1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17" min="1" max="1"/>
    <col width="25" customWidth="1" style="17" min="2" max="2"/>
    <col width="16" customWidth="1" style="17" min="3" max="4"/>
    <col width="40" customWidth="1" style="17" min="5" max="5"/>
    <col width="12" customWidth="1" style="17" min="6" max="6"/>
    <col width="22" customWidth="1" style="18" min="8" max="8"/>
  </cols>
  <sheetData>
    <row r="1" ht="30" customHeight="1" s="18">
      <c r="A1" s="19" t="inlineStr">
        <is>
          <t>Credibility Factors — V&amp;V 40 Table 5-1 Assessment</t>
        </is>
      </c>
    </row>
    <row r="2" ht="30" customHeight="1" s="18">
      <c r="A2" s="34" t="inlineStr">
        <is>
          <t>Complete profile only. Assess each relevant factor: set Required Level (goal given model risk) and Achieved Level (what evidence supports).</t>
        </is>
      </c>
    </row>
    <row r="3" ht="15" customHeight="1" s="18">
      <c r="A3" s="20" t="inlineStr">
        <is>
          <t>Factor Type</t>
        </is>
      </c>
      <c r="B3" s="20" t="inlineStr">
        <is>
          <t>Category</t>
        </is>
      </c>
      <c r="C3" s="20" t="inlineStr">
        <is>
          <t>Required Level</t>
        </is>
      </c>
      <c r="D3" s="20" t="inlineStr">
        <is>
          <t>Achieved Level</t>
        </is>
      </c>
      <c r="E3" s="21" t="inlineStr">
        <is>
          <t>Acceptance Criteria</t>
        </is>
      </c>
      <c r="F3" s="20" t="inlineStr">
        <is>
          <t>Rationale</t>
        </is>
      </c>
      <c r="G3" s="20" t="inlineStr">
        <is>
          <t>Factor Status</t>
        </is>
      </c>
      <c r="H3" s="37" t="inlineStr">
        <is>
          <t>Linked Evidence</t>
        </is>
      </c>
    </row>
    <row r="4" ht="22.35" customHeight="1" s="18">
      <c r="A4" s="22" t="inlineStr">
        <is>
          <t>V&amp;V 40 factor (pre-filled, do not edit)</t>
        </is>
      </c>
      <c r="B4" s="22" t="inlineStr">
        <is>
          <t>Grouping (pre-filled)</t>
        </is>
      </c>
      <c r="C4" s="22" t="inlineStr">
        <is>
          <t>Credibility goal for this factor (1-5)</t>
        </is>
      </c>
      <c r="D4" s="22" t="inlineStr">
        <is>
          <t>Level achieved by evidence (1-5)</t>
        </is>
      </c>
      <c r="E4" s="23" t="inlineStr">
        <is>
          <t>Goal and basis for the required level (from V&amp;V 40 Tables 3-4)</t>
        </is>
      </c>
      <c r="F4" s="22" t="inlineStr">
        <is>
          <t>Brief justification (esp. if achieved &lt; required)</t>
        </is>
      </c>
      <c r="G4" s="22" t="inlineStr">
        <is>
          <t>assessed / not-assessed / scoped-out / not-applicable</t>
        </is>
      </c>
      <c r="H4" s="38" t="inlineStr">
        <is>
          <t>URI of validation result that supports this factor (optional)</t>
        </is>
      </c>
    </row>
    <row r="5" ht="15" customHeight="1" s="18">
      <c r="A5" s="35" t="inlineStr">
        <is>
          <t>Software quality assurance</t>
        </is>
      </c>
      <c r="B5" s="36" t="inlineStr">
        <is>
          <t>Verification — Code</t>
        </is>
      </c>
      <c r="C5" s="41" t="n">
        <v>4</v>
      </c>
      <c r="D5" s="41" t="n">
        <v>4</v>
      </c>
      <c r="E5" s="42" t="inlineStr">
        <is>
          <t>Commercial solver with documented verification; version control; CI regression testing; independent audit</t>
        </is>
      </c>
      <c r="F5" s="41" t="inlineStr">
        <is>
          <t>Abaqus/Standard 2023.HF2 used in double precision. All models tracked in Git (repo MD-StemFEA, tag v1.6.2). Jenkins CI runs unit problems after each commit. Jobs reproduced on two platforms (CentOS 8 and Windows 11) within 0.2%. External independent reviewer A. Nguyen (PhD, not on design team) completed code/process audit on 23 Jul 2026 with no open actions.</t>
        </is>
      </c>
      <c r="G5" s="41" t="inlineStr">
        <is>
          <t>assessed</t>
        </is>
      </c>
    </row>
    <row r="6" ht="15" customHeight="1" s="18">
      <c r="A6" s="36" t="inlineStr">
        <is>
          <t>Numerical code verification</t>
        </is>
      </c>
      <c r="B6" s="36" t="inlineStr">
        <is>
          <t>Verification — Code</t>
        </is>
      </c>
      <c r="C6" s="41" t="n">
        <v>4</v>
      </c>
      <c r="D6" s="41" t="n">
        <v>4</v>
      </c>
      <c r="E6" s="42" t="inlineStr">
        <is>
          <t>Comparison to analytical solutions for representative physics including contact</t>
        </is>
      </c>
      <c r="F6" s="41" t="inlineStr">
        <is>
          <t>Element-level tests documented: linear patch test error &lt;0.5%, three-point bending vs Euler-Bernoulli &lt;1.0% across coarse-to-fine meshes, and Hertzian contact pressure distribution within 3% of analytic solution. These cover the primary physics (elasticity and contact) present in the stem model.</t>
        </is>
      </c>
      <c r="G6" s="41" t="inlineStr">
        <is>
          <t>assessed</t>
        </is>
      </c>
    </row>
    <row r="7" ht="15" customHeight="1" s="18">
      <c r="A7" s="35" t="inlineStr">
        <is>
          <t>Discretization error</t>
        </is>
      </c>
      <c r="B7" s="36" t="inlineStr">
        <is>
          <t>Verification — Calculation</t>
        </is>
      </c>
      <c r="C7" s="41" t="n">
        <v>4</v>
      </c>
      <c r="D7" s="41" t="n">
        <v>4</v>
      </c>
      <c r="E7" s="42" t="inlineStr">
        <is>
          <t>Mesh convergence study with GCI &lt;5% for primary QoIs</t>
        </is>
      </c>
      <c r="F7" s="41" t="inlineStr">
        <is>
          <t>Three-level mesh refinement study (0.8M/1.8M/4.2M C3D10 elements) performed at calcar and distal stem shoulder. Richardson extrapolation ~94 MPa; fine-mesh GCI ~2.2% (p≈1.8). Primary QoIs (medial principal strain, interface micromotion) varied &lt;3% across two finest meshes. Contact surfaces refined to limit overclosure &lt;1 μm.</t>
        </is>
      </c>
      <c r="G7" s="41" t="inlineStr">
        <is>
          <t>assessed</t>
        </is>
      </c>
    </row>
    <row r="8" ht="15" customHeight="1" s="18">
      <c r="A8" s="36" t="inlineStr">
        <is>
          <t>Numerical solver error</t>
        </is>
      </c>
      <c r="B8" s="36" t="inlineStr">
        <is>
          <t>Verification — Calculation</t>
        </is>
      </c>
      <c r="C8" s="41" t="n">
        <v>3</v>
      </c>
      <c r="D8" s="41" t="n">
        <v>4</v>
      </c>
      <c r="E8" s="42" t="inlineStr">
        <is>
          <t>Residual convergence targets met; contact stabilization documented</t>
        </is>
      </c>
      <c r="F8" s="41" t="inlineStr">
        <is>
          <t>Newton-Raphson residual tolerance &lt;1e-6; contact stabilization deliberately off; final contact penetration 0.3–0.9 μm; energy balance error &lt;0.6%. Convergence metrics fully documented and quantitatively reported.</t>
        </is>
      </c>
      <c r="G8" s="41" t="inlineStr">
        <is>
          <t>assessed</t>
        </is>
      </c>
    </row>
    <row r="9" ht="15" customHeight="1" s="18">
      <c r="A9" s="36" t="inlineStr">
        <is>
          <t>Use error</t>
        </is>
      </c>
      <c r="B9" s="36" t="inlineStr">
        <is>
          <t>Verification — Calculation</t>
        </is>
      </c>
      <c r="C9" s="41" t="n">
        <v>4</v>
      </c>
      <c r="D9" s="41" t="n">
        <v>4</v>
      </c>
      <c r="E9" s="42" t="inlineStr">
        <is>
          <t>Independent review of model setup; boundary condition verification; mesh quality checks</t>
        </is>
      </c>
      <c r="F9" s="41" t="inlineStr">
        <is>
          <t>External reviewer A. Nguyen (PhD, independent of design team) completed code/process audit on 23 Jul 2026 with no open actions. All inputs are unit-checked (SI). Boundary conditions (load angles, potting, fixture compliance 0.12 mm/kN) verified against rig configuration. Alignment verified by photogrammetry (&lt;0.5°). Full provenance tracked in Git and run logs.</t>
        </is>
      </c>
      <c r="G9" s="41" t="inlineStr">
        <is>
          <t>assessed</t>
        </is>
      </c>
    </row>
    <row r="10" ht="15" customHeight="1" s="18">
      <c r="A10" s="35" t="inlineStr">
        <is>
          <t>Model form</t>
        </is>
      </c>
      <c r="B10" s="36" t="inlineStr">
        <is>
          <t>Validation — Model</t>
        </is>
      </c>
      <c r="C10" s="41" t="n">
        <v>4</v>
      </c>
      <c r="D10" s="41" t="n">
        <v>3</v>
      </c>
      <c r="E10" s="42" t="inlineStr">
        <is>
          <t>Governing equations justified for intended physics; known limitations explicitly documented</t>
        </is>
      </c>
      <c r="F10" s="41" t="inlineStr">
        <is>
          <t>Small-strain nonlinear contact FEA with frictional surface-to-surface contact is justified for immediate post-op quasi-static loading. Keyak-type CT-to-modulus calibration for heterogeneous bone is a well-established approach. Known limitations explicitly stated: no cyclic fatigue, no impaction damage, no osteolysis, no time-dependent behavior, no remodeling. Validity bounds stated (BMI 20–35, T-score &gt;−2.0, immediate post-op). Turbulence/constitutive model choice rationale is implicit rather than formally cited against alternative model forms, limiting level to 3.</t>
        </is>
      </c>
      <c r="G10" s="41" t="inlineStr">
        <is>
          <t>assessed</t>
        </is>
      </c>
    </row>
    <row r="11" ht="15" customHeight="1" s="18">
      <c r="A11" s="36" t="inlineStr">
        <is>
          <t>Model inputs</t>
        </is>
      </c>
      <c r="B11" s="36" t="inlineStr">
        <is>
          <t>Validation — Model</t>
        </is>
      </c>
      <c r="C11" s="41" t="n">
        <v>4</v>
      </c>
      <c r="D11" s="41" t="n">
        <v>4</v>
      </c>
      <c r="E11" s="42" t="inlineStr">
        <is>
          <t>Material properties and boundary conditions from measurements or testing; input uncertainty characterized</t>
        </is>
      </c>
      <c r="F11" s="41" t="inlineStr">
        <is>
          <t>Ti-6Al-4V properties specified (E=110 GPa, ν=0.34). Bone moduli mapped from CT with Keyak-type calibration (cortex 16–22 GPa, trabecular 0.1–1.5 GPa). Loads/BCs mirror physical fixture (2.2 kN at 20°, abductor 0.5 kN); fixture compliance measured (0.12 mm/kN) and included. Friction coefficient tuned on two pilot specimens (μ=0.17) then frozen before validation. Input uncertainty ranges defined for all major parameters and propagated via LHS (500 samples). Traceability via dataset LD-ORS-2026-07 and model configs MC-Stem-v1.6.x.</t>
        </is>
      </c>
      <c r="G11" s="41" t="inlineStr">
        <is>
          <t>assessed</t>
        </is>
      </c>
    </row>
    <row r="12" ht="15" customHeight="1" s="18">
      <c r="A12" s="35" t="inlineStr">
        <is>
          <t>Test samples</t>
        </is>
      </c>
      <c r="B12" s="36" t="inlineStr">
        <is>
          <t>Validation — Comparator</t>
        </is>
      </c>
      <c r="C12" s="41" t="n">
        <v>3</v>
      </c>
      <c r="D12" s="41" t="n">
        <v>3</v>
      </c>
      <c r="E12" s="42" t="inlineStr">
        <is>
          <t>Adequate number of specimens representative of intended clinical population; statistical characterization</t>
        </is>
      </c>
      <c r="F12" s="41" t="inlineStr">
        <is>
          <t>Five cadaveric femurs used for validation (two pilot specimens used only for friction tuning, then locked out). Test articles confirmed to match CT density range and geometry within the intended cohort. Sample size is modest (n=5) and lacks formal power analysis or statistical characterization of inter-specimen variability, which limits the level to 3.</t>
        </is>
      </c>
      <c r="G12" s="41" t="inlineStr">
        <is>
          <t>assessed</t>
        </is>
      </c>
    </row>
    <row r="13" ht="15" customHeight="1" s="18">
      <c r="A13" s="36" t="inlineStr">
        <is>
          <t>Test conditions</t>
        </is>
      </c>
      <c r="B13" s="36" t="inlineStr">
        <is>
          <t>Validation — Comparator</t>
        </is>
      </c>
      <c r="C13" s="41" t="n">
        <v>4</v>
      </c>
      <c r="D13" s="41" t="n">
        <v>4</v>
      </c>
      <c r="E13" s="42" t="inlineStr">
        <is>
          <t>Calibrated instrumentation; controlled and measured test conditions; alignment verified; measurement uncertainty reported</t>
        </is>
      </c>
      <c r="F13" s="41" t="inlineStr">
        <is>
          <t>Instrumentation per ISO 7206-4 analog: 12 strain gauges (±5 με) and DIC (±3% calibrated). Alignment errors &lt;0.5° verified by photogrammetry. Fixture compliance measured (0.12 mm/kN). Same loading angles and potting as model. Measurement uncertainties quantitatively reported for all primary instruments.</t>
        </is>
      </c>
      <c r="G13" s="41" t="inlineStr">
        <is>
          <t>assessed</t>
        </is>
      </c>
    </row>
    <row r="14" ht="15" customHeight="1" s="18">
      <c r="A14" s="35" t="inlineStr">
        <is>
          <t>Equivalency of input parameters</t>
        </is>
      </c>
      <c r="B14" s="36" t="inlineStr">
        <is>
          <t>Validation — Assessment</t>
        </is>
      </c>
      <c r="C14" s="41" t="n">
        <v>4</v>
      </c>
      <c r="D14" s="41" t="n">
        <v>4</v>
      </c>
      <c r="E14" s="42" t="inlineStr">
        <is>
          <t>Model inputs demonstrably match experimental conditions; no unmatched free parameters</t>
        </is>
      </c>
      <c r="F14" s="41" t="inlineStr">
        <is>
          <t>All loads and BCs in the simulation duplicate the rig configuration explicitly. Fixture compliance included in model. Only one free parameter (friction coefficient μ) was tuned, using only the two pilot specimens, and then frozen before validation runs. No additional free parameters. Input parameter correspondence explicitly stated: "All inputs and outputs are unit-checked (SI) and linked."</t>
        </is>
      </c>
      <c r="G14" s="41" t="inlineStr">
        <is>
          <t>assessed</t>
        </is>
      </c>
    </row>
    <row r="15" ht="15" customHeight="1" s="18">
      <c r="A15" s="36" t="inlineStr">
        <is>
          <t>Output comparison</t>
        </is>
      </c>
      <c r="B15" s="36" t="inlineStr">
        <is>
          <t>Validation — Assessment</t>
        </is>
      </c>
      <c r="C15" s="41" t="n">
        <v>4</v>
      </c>
      <c r="D15" s="41" t="n">
        <v>4</v>
      </c>
      <c r="E15" s="42" t="inlineStr">
        <is>
          <t>Quantitative error metrics; multiple comparison points; no systematic bias; R² or equivalent</t>
        </is>
      </c>
      <c r="F15" s="41" t="inlineStr">
        <is>
          <t>Medial calcar principal strain: RMS error 7.4%, mean signed error +1.2%. Lateral cortex RMS 9.1%. R²=0.93 across all gauges. Interface micromotion MAPE 8.6% (DIC vs nodal relative slip). No bias with load level detected (p=0.41). Multiple comparison points across 12 gauge locations and DIC field. Overall within 10% target stated in memo.</t>
        </is>
      </c>
      <c r="G15" s="41" t="inlineStr">
        <is>
          <t>assessed</t>
        </is>
      </c>
    </row>
    <row r="16" ht="15" customHeight="1" s="18">
      <c r="A16" s="35" t="inlineStr">
        <is>
          <t>Relevance of the quantities of interest</t>
        </is>
      </c>
      <c r="B16" s="36" t="inlineStr">
        <is>
          <t>Applicability</t>
        </is>
      </c>
      <c r="C16" s="41" t="n">
        <v>4</v>
      </c>
      <c r="D16" s="41" t="n">
        <v>4</v>
      </c>
      <c r="E16" s="42" t="inlineStr">
        <is>
          <t>QoIs directly measure the safety/performance concern and are measurable both computationally and experimentally</t>
        </is>
      </c>
      <c r="F16" s="41" t="inlineStr">
        <is>
          <t>QoIs are medial calcar principal strain, lateral cortex strain, and stem–bone interface micromotion — directly linked to periprosthetic fracture risk and osseointegration (the stated clinical safety concerns). All QoIs are measurable experimentally (strain gauges, DIC) and computationally (nodal strain, nodal relative slip), enabling direct comparison. Acceptance limits (120 MPa, 50 μm) are tied to the decision criteria.</t>
        </is>
      </c>
      <c r="G16" s="41" t="inlineStr">
        <is>
          <t>assessed</t>
        </is>
      </c>
    </row>
    <row r="17" ht="15" customHeight="1" s="18">
      <c r="A17" s="36" t="inlineStr">
        <is>
          <t>Relevance of the validation activities to the COU</t>
        </is>
      </c>
      <c r="B17" s="36" t="inlineStr">
        <is>
          <t>Applicability</t>
        </is>
      </c>
      <c r="C17" s="41" t="n">
        <v>4</v>
      </c>
      <c r="D17" s="41" t="n">
        <v>3</v>
      </c>
      <c r="E17" s="42" t="inlineStr">
        <is>
          <t>Validation conditions match COU operating conditions, geometry, loading, and population; gaps documented</t>
        </is>
      </c>
      <c r="F17" s="41" t="inlineStr">
        <is>
          <t>Validation used cadaveric femurs with the same loading fixture, angles, and potting as the model, directly representing the immediate post-op single-leg stance COU. Geometry and CT density range confirmed to match intended cohort. Known gaps explicitly documented: no validation for fatigue, osteoporotic bone (T-score &lt; −2.0), BMI outside 20–35, long-term remodeling, or different CT-to-modulus calibrations. Guardrails documented in memo. A two-specimen spot-check on final production grit-blast surface finish remains open. These residual gaps limit the level to 3 despite good alignment within the stated scope.</t>
        </is>
      </c>
      <c r="G17" s="41" t="inlineStr">
        <is>
          <t>assessed</t>
        </is>
      </c>
    </row>
  </sheetData>
  <mergeCells count="2">
    <mergeCell ref="A2:F2"/>
    <mergeCell ref="A1:F1"/>
  </mergeCells>
  <dataValidations count="2">
    <dataValidation sqref="C5:D17" showDropDown="0" showInputMessage="0" showErrorMessage="0" allowBlank="1" type="list" errorStyle="stop" operator="between">
      <formula1>list_factor_level</formula1>
      <formula2>0</formula2>
    </dataValidation>
    <dataValidation sqref="F5:F17" showDropDown="0" showInputMessage="0" showErrorMessage="0" allowBlank="1" type="list" errorStyle="stop" operator="between">
      <formula1>list_assessed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1"/>
  </sheetPr>
  <dimension ref="A1:E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60" customWidth="1" style="17" min="2" max="2"/>
    <col width="22" customWidth="1" style="17" min="3" max="3"/>
    <col width="25" customWidth="1" style="17" min="4" max="4"/>
    <col width="16" customWidth="1" style="17" min="5" max="5"/>
  </cols>
  <sheetData>
    <row r="1" ht="30" customHeight="1" s="18">
      <c r="A1" s="19" t="inlineStr">
        <is>
          <t>Decision — The credibility judgment</t>
        </is>
      </c>
    </row>
    <row r="2" ht="15" customHeight="1" s="18">
      <c r="A2" s="20" t="inlineStr">
        <is>
          <t>Decision Outcome</t>
        </is>
      </c>
      <c r="B2" s="20" t="inlineStr">
        <is>
          <t>Decision Rationale</t>
        </is>
      </c>
      <c r="C2" s="20" t="inlineStr">
        <is>
          <t>Criteria Set</t>
        </is>
      </c>
      <c r="D2" s="20" t="inlineStr">
        <is>
          <t>Decided By</t>
        </is>
      </c>
      <c r="E2" s="20" t="inlineStr">
        <is>
          <t>Decision Date</t>
        </is>
      </c>
    </row>
    <row r="3" ht="22.35" customHeight="1" s="18">
      <c r="A3" s="39" t="inlineStr">
        <is>
          <t>Accepted</t>
        </is>
      </c>
      <c r="B3" s="39" t="inlineStr">
        <is>
          <t>The femoral stem FEA package meets the evidence bar for the design freeze decision under the stated COU (immediate post-op, single-leg stance, BMI 20–35, T-score &gt;−2.0). Model-to-test agreement is within 10% on all primary QoIs (medial calcar RMS 7.4%, lateral cortex RMS 9.1%, micromotion MAPE 8.6%, R²=0.93). Under 500-sample LHS uncertainty propagation, 95th percentile peak cortical stress (105 MPa) and micromotion (41 μm) preserve margins to acceptance limits (120 MPa and 50 μm respectively). Mesh GCI ~2.2%, solver residuals &lt;1e-6, and energy balance error &lt;0.6% confirm numerical adequacy. Independent audit completed with no open actions. Acceptance is conditioned on: (1) not reusing the model for fatigue or osteoporotic cases without new data; (2) re-verification if geometry changes exceed 1% at collar/shoulder or surface finish alters friction expectations; (3) completion of two-specimen spot-check on final production grit-blast surface finish to confirm μ=0.17±0.03; and (4) archival of full provenance package and reviewer sign-off in Windchill by 12 Aug 2026.</t>
        </is>
      </c>
      <c r="C3" s="22" t="inlineStr">
        <is>
          <t>Auto-filled from Assessment Summary</t>
        </is>
      </c>
      <c r="D3" s="39" t="inlineStr">
        <is>
          <t>Elena Torres</t>
        </is>
      </c>
      <c r="E3" s="39" t="inlineStr">
        <is>
          <t>2026-08-06</t>
        </is>
      </c>
    </row>
    <row r="4" ht="15" customHeight="1" s="18">
      <c r="A4" s="24" t="n"/>
      <c r="B4" s="24" t="n"/>
      <c r="C4" s="25">
        <f>'Assessment Summary'!H4</f>
        <v/>
      </c>
      <c r="D4" s="25" t="n"/>
      <c r="E4" s="33" t="n"/>
    </row>
  </sheetData>
  <mergeCells count="1">
    <mergeCell ref="A1:E1"/>
  </mergeCells>
  <dataValidations count="1">
    <dataValidation sqref="A4" showDropDown="0" showInputMessage="0" showErrorMessage="0" allowBlank="0" error="Select Accepted, Not accepted, or Conditional" type="list" errorStyle="stop" operator="between">
      <formula1>list_decision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2026-03-31T17:48:36Z</dcterms:created>
  <dcterms:modified xmlns:dcterms="http://purl.org/dc/terms/" xmlns:xsi="http://www.w3.org/2001/XMLSchema-instance" xsi:type="dcterms:W3CDTF">2026-08-06T08:13:37Z</dcterms:modified>
  <cp:revision>0</cp:revision>
</cp:coreProperties>
</file>