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ssessment Summary" sheetId="1" state="visible" r:id="rId1"/>
    <sheet xmlns:r="http://schemas.openxmlformats.org/officeDocument/2006/relationships" name="Instructions" sheetId="2" state="visible" r:id="rId2"/>
    <sheet xmlns:r="http://schemas.openxmlformats.org/officeDocument/2006/relationships" name="_Lists" sheetId="3" state="hidden" r:id="rId3"/>
    <sheet xmlns:r="http://schemas.openxmlformats.org/officeDocument/2006/relationships" name="Model &amp; Data" sheetId="4" state="visible" r:id="rId4"/>
    <sheet xmlns:r="http://schemas.openxmlformats.org/officeDocument/2006/relationships" name="Validation Results" sheetId="5" state="visible" r:id="rId5"/>
    <sheet xmlns:r="http://schemas.openxmlformats.org/officeDocument/2006/relationships" name="Credibility Factors" sheetId="6" state="visible" r:id="rId6"/>
    <sheet xmlns:r="http://schemas.openxmlformats.org/officeDocument/2006/relationships" name="Decision" sheetId="7" state="visible" r:id="rId7"/>
  </sheets>
  <definedNames>
    <definedName name="list_assessed" hidden="0" function="0" vbProcedure="0">_Lists!$J$2:$J$4</definedName>
    <definedName name="list_assurance" hidden="0" function="0" vbProcedure="0">_Lists!$D$2:$D$4</definedName>
    <definedName name="list_decision" hidden="0" function="0" vbProcedure="0">_Lists!$K$2:$K$4</definedName>
    <definedName name="list_device_class" hidden="0" function="0" vbProcedure="0">_Lists!$B$2:$B$10</definedName>
    <definedName name="list_entity_type" hidden="0" function="0" vbProcedure="0">_Lists!$F$2:$F$4</definedName>
    <definedName name="list_factor_level" hidden="0" function="0" vbProcedure="0">_Lists!$I$2:$I$5</definedName>
    <definedName name="list_has_uq" hidden="0" function="0" vbProcedure="0">_Lists!$G$2:$G$3</definedName>
    <definedName name="list_mrl" hidden="0" function="0" vbProcedure="0">_Lists!$C$2:$C$6</definedName>
    <definedName name="list_pass_fail" hidden="0" function="0" vbProcedure="0">_Lists!$H$2:$H$5</definedName>
    <definedName name="list_profile" hidden="0" function="0" vbProcedure="0">_Lists!$A$2:$A$3</definedName>
    <definedName name="list_standards" hidden="0" function="0" vbProcedure="0">_Lists!$E$2:$E$5</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B4F72"/>
      <sz val="14"/>
    </font>
    <font>
      <name val="Arial"/>
      <charset val="1"/>
      <family val="0"/>
      <b val="1"/>
      <color rgb="FFFFFFFF"/>
      <sz val="10"/>
    </font>
    <font>
      <name val="Arial"/>
      <charset val="1"/>
      <family val="0"/>
      <i val="1"/>
      <color rgb="FF666666"/>
      <sz val="9"/>
    </font>
    <font>
      <name val="Arial"/>
      <charset val="1"/>
      <family val="0"/>
      <sz val="10"/>
    </font>
    <font>
      <name val="Arial"/>
      <charset val="1"/>
      <family val="0"/>
      <b val="1"/>
      <sz val="9"/>
    </font>
    <font>
      <name val="Arial"/>
      <charset val="1"/>
      <family val="0"/>
      <sz val="9"/>
    </font>
    <font>
      <name val="Arial"/>
      <charset val="1"/>
      <family val="0"/>
      <b val="1"/>
      <color rgb="FF1B4F72"/>
      <sz val="10"/>
    </font>
    <font>
      <name val="Cambria"/>
      <charset val="1"/>
      <family val="0"/>
      <b val="1"/>
      <sz val="11"/>
    </font>
    <font>
      <name val="Arial"/>
      <charset val="1"/>
      <family val="0"/>
      <i val="1"/>
      <color rgb="FF555555"/>
      <sz val="10"/>
    </font>
    <font>
      <name val="Arial"/>
      <charset val="1"/>
      <family val="0"/>
      <b val="1"/>
      <sz val="10"/>
    </font>
    <font>
      <name val="Arial"/>
      <b val="1"/>
      <color rgb="00FFFFFF"/>
      <sz val="10"/>
    </font>
    <font>
      <name val="Arial"/>
      <color rgb="00666666"/>
      <sz val="9"/>
    </font>
  </fonts>
  <fills count="10">
    <fill>
      <patternFill/>
    </fill>
    <fill>
      <patternFill patternType="gray125"/>
    </fill>
    <fill>
      <patternFill patternType="solid">
        <fgColor rgb="FF1B4F72"/>
        <bgColor rgb="FF333399"/>
      </patternFill>
    </fill>
    <fill>
      <patternFill patternType="solid">
        <fgColor rgb="FFF2F3F4"/>
        <bgColor rgb="FFFFFFFF"/>
      </patternFill>
    </fill>
    <fill>
      <patternFill patternType="solid">
        <fgColor rgb="FFD6EAF8"/>
        <bgColor rgb="FFD5F5E3"/>
      </patternFill>
    </fill>
    <fill>
      <patternFill patternType="solid">
        <fgColor rgb="FFD5F5E3"/>
        <bgColor rgb="FFD6EAF8"/>
      </patternFill>
    </fill>
    <fill>
      <patternFill patternType="solid">
        <fgColor rgb="FFFFFFFF"/>
        <bgColor rgb="FFF2F3F4"/>
      </patternFill>
    </fill>
    <fill>
      <patternFill patternType="solid">
        <fgColor rgb="001B4F72"/>
      </patternFill>
    </fill>
    <fill>
      <patternFill patternType="solid">
        <fgColor rgb="00F2F3F4"/>
      </patternFill>
    </fill>
    <fill>
      <patternFill patternType="solid">
        <fgColor rgb="00FFEB9C"/>
        <bgColor rgb="00FFEB9C"/>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CCCCCC"/>
      </left>
      <right style="thin">
        <color rgb="00CCCCCC"/>
      </right>
      <top style="thin">
        <color rgb="00CCCCCC"/>
      </top>
      <bottom style="thin">
        <color rgb="00CCCCCC"/>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 applyAlignment="1" pivotButton="0" quotePrefix="0" xfId="0">
      <alignment horizontal="general" vertical="top" wrapText="1"/>
    </xf>
    <xf numFmtId="0" fontId="6" fillId="0" borderId="0" pivotButton="0" quotePrefix="0" xfId="0"/>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14" fillId="7" borderId="2" applyAlignment="1" pivotButton="0" quotePrefix="0" xfId="0">
      <alignment horizontal="center" vertical="center" wrapText="1"/>
    </xf>
    <xf numFmtId="0" fontId="15" fillId="8" borderId="2" applyAlignment="1" pivotButton="0" quotePrefix="0" xfId="0">
      <alignment vertical="top" wrapText="1"/>
    </xf>
    <xf numFmtId="0" fontId="6" fillId="9" borderId="1" applyAlignment="1" pivotButton="0" quotePrefix="0" xfId="0">
      <alignment horizontal="general" vertical="top" wrapText="1"/>
    </xf>
    <xf numFmtId="0" fontId="6" fillId="9" borderId="0" pivotButton="0" quotePrefix="0" xfId="0"/>
    <xf numFmtId="0" fontId="7" fillId="9" borderId="1" applyAlignment="1" pivotButton="0" quotePrefix="0" xfId="0">
      <alignment horizontal="general" vertical="top" wrapText="1"/>
    </xf>
    <xf numFmtId="0"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2F3F4"/>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F5E3"/>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B4F72"/>
      <rgbColor rgb="FF339966"/>
      <rgbColor rgb="FF003300"/>
      <rgbColor rgb="FF333300"/>
      <rgbColor rgb="FF993300"/>
      <rgbColor rgb="FF993366"/>
      <rgbColor rgb="FF333399"/>
      <rgbColor rgb="FF5555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C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L3" authorId="0" shapeId="0">
      <text>
        <t>[Extract] | Confidence: 50%</t>
      </text>
    </comment>
  </commentList>
</comments>
</file>

<file path=xl/comments/comment2.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A7" authorId="0" shapeId="0">
      <text>
        <t>[Extract] | Confidence: 50%</t>
      </text>
    </comment>
    <comment ref="B7" authorId="0" shapeId="0">
      <text>
        <t>[Extract] | Confidence: 50%</t>
      </text>
    </comment>
    <comment ref="D7" authorId="0" shapeId="0">
      <text>
        <t>[Extract] | Confidence: 50%</t>
      </text>
    </comment>
  </commentList>
</comments>
</file>

<file path=xl/comments/comment3.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E4" authorId="0" shapeId="0">
      <text>
        <t>[Extract] | Confidence: 50%</t>
      </text>
    </comment>
    <comment ref="F4" authorId="0" shapeId="0">
      <text>
        <t>[Extract] | Confidence: 50%</t>
      </text>
    </comment>
    <comment ref="H4" authorId="0" shapeId="0">
      <text>
        <t>[Extract] | Confidence: 50%</t>
      </text>
    </comment>
    <comment ref="I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H5" authorId="0" shapeId="0">
      <text>
        <t>[Extract] | Confidence: 50%</t>
      </text>
    </comment>
    <comment ref="I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H6" authorId="0" shapeId="0">
      <text>
        <t>[Extract] | Confidence: 50%</t>
      </text>
    </comment>
    <comment ref="I6" authorId="0" shapeId="0">
      <text>
        <t>[Extract] | Confidence: 50%</t>
      </text>
    </comment>
    <comment ref="A7" authorId="0" shapeId="0">
      <text>
        <t>[Extract] | Confidence: 50%</t>
      </text>
    </comment>
    <comment ref="B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H7" authorId="0" shapeId="0">
      <text>
        <t>[Extract] | Confidence: 50%</t>
      </text>
    </comment>
    <comment ref="I7" authorId="0" shapeId="0">
      <text>
        <t>[Extract] | Confidence: 50%</t>
      </text>
    </comment>
  </commentList>
</comments>
</file>

<file path=xl/comments/comment4.xml><?xml version="1.0" encoding="utf-8"?>
<comments xmlns="http://schemas.openxmlformats.org/spreadsheetml/2006/main">
  <authors>
    <author>uofa extract</author>
  </authors>
  <commentList>
    <comment ref="C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C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C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C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G8" authorId="0" shapeId="0">
      <text>
        <t>[Extract] | Confidence: 50%</t>
      </text>
    </comment>
    <comment ref="C9" authorId="0" shapeId="0">
      <text>
        <t>[Extract] | Confidence: 50%</t>
      </text>
    </comment>
    <comment ref="D9" authorId="0" shapeId="0">
      <text>
        <t>[Extract] | Confidence: 50%</t>
      </text>
    </comment>
    <comment ref="E9" authorId="0" shapeId="0">
      <text>
        <t>[Extract] | Confidence: 50%</t>
      </text>
    </comment>
    <comment ref="F9" authorId="0" shapeId="0">
      <text>
        <t>[Extract] | Confidence: 50%</t>
      </text>
    </comment>
    <comment ref="G9" authorId="0" shapeId="0">
      <text>
        <t>[Extract] | Confidence: 50%</t>
      </text>
    </comment>
    <comment ref="C10" authorId="0" shapeId="0">
      <text>
        <t>[Extract] | Confidence: 50%</t>
      </text>
    </comment>
    <comment ref="D10" authorId="0" shapeId="0">
      <text>
        <t>[Extract] | Confidence: 50%</t>
      </text>
    </comment>
    <comment ref="E10" authorId="0" shapeId="0">
      <text>
        <t>[Extract] | Confidence: 50%</t>
      </text>
    </comment>
    <comment ref="F10" authorId="0" shapeId="0">
      <text>
        <t>[Extract] | Confidence: 50%</t>
      </text>
    </comment>
    <comment ref="G10" authorId="0" shapeId="0">
      <text>
        <t>[Extract] | Confidence: 50%</t>
      </text>
    </comment>
    <comment ref="C11" authorId="0" shapeId="0">
      <text>
        <t>[Extract] | Confidence: 50%</t>
      </text>
    </comment>
    <comment ref="D11" authorId="0" shapeId="0">
      <text>
        <t>[Extract] | Confidence: 50%</t>
      </text>
    </comment>
    <comment ref="E11" authorId="0" shapeId="0">
      <text>
        <t>[Extract] | Confidence: 50%</t>
      </text>
    </comment>
    <comment ref="F11" authorId="0" shapeId="0">
      <text>
        <t>[Extract] | Confidence: 50%</t>
      </text>
    </comment>
    <comment ref="G11" authorId="0" shapeId="0">
      <text>
        <t>[Extract] | Confidence: 50%</t>
      </text>
    </comment>
    <comment ref="C12" authorId="0" shapeId="0">
      <text>
        <t>[Extract] | Confidence: 50%</t>
      </text>
    </comment>
    <comment ref="D12" authorId="0" shapeId="0">
      <text>
        <t>[Extract] | Confidence: 50%</t>
      </text>
    </comment>
    <comment ref="E12" authorId="0" shapeId="0">
      <text>
        <t>[Extract] | Confidence: 50%</t>
      </text>
    </comment>
    <comment ref="F12" authorId="0" shapeId="0">
      <text>
        <t>[Extract] | Confidence: 50%</t>
      </text>
    </comment>
    <comment ref="G12" authorId="0" shapeId="0">
      <text>
        <t>[Extract] | Confidence: 50%</t>
      </text>
    </comment>
    <comment ref="C13" authorId="0" shapeId="0">
      <text>
        <t>[Extract] | Confidence: 50%</t>
      </text>
    </comment>
    <comment ref="D13" authorId="0" shapeId="0">
      <text>
        <t>[Extract] | Confidence: 50%</t>
      </text>
    </comment>
    <comment ref="E13" authorId="0" shapeId="0">
      <text>
        <t>[Extract] | Confidence: 50%</t>
      </text>
    </comment>
    <comment ref="F13" authorId="0" shapeId="0">
      <text>
        <t>[Extract] | Confidence: 50%</t>
      </text>
    </comment>
    <comment ref="G13" authorId="0" shapeId="0">
      <text>
        <t>[Extract] | Confidence: 50%</t>
      </text>
    </comment>
    <comment ref="C14" authorId="0" shapeId="0">
      <text>
        <t>[Extract] | Confidence: 50%</t>
      </text>
    </comment>
    <comment ref="D14" authorId="0" shapeId="0">
      <text>
        <t>[Extract] | Confidence: 50%</t>
      </text>
    </comment>
    <comment ref="E14" authorId="0" shapeId="0">
      <text>
        <t>[Extract] | Confidence: 50%</t>
      </text>
    </comment>
    <comment ref="F14" authorId="0" shapeId="0">
      <text>
        <t>[Extract] | Confidence: 50%</t>
      </text>
    </comment>
    <comment ref="G14" authorId="0" shapeId="0">
      <text>
        <t>[Extract] | Confidence: 50%</t>
      </text>
    </comment>
    <comment ref="C15" authorId="0" shapeId="0">
      <text>
        <t>[Extract] | Confidence: 50%</t>
      </text>
    </comment>
    <comment ref="D15" authorId="0" shapeId="0">
      <text>
        <t>[Extract] | Confidence: 50%</t>
      </text>
    </comment>
    <comment ref="E15" authorId="0" shapeId="0">
      <text>
        <t>[Extract] | Confidence: 50%</t>
      </text>
    </comment>
    <comment ref="F15" authorId="0" shapeId="0">
      <text>
        <t>[Extract] | Confidence: 50%</t>
      </text>
    </comment>
    <comment ref="G15" authorId="0" shapeId="0">
      <text>
        <t>[Extract] | Confidence: 50%</t>
      </text>
    </comment>
    <comment ref="C16" authorId="0" shapeId="0">
      <text>
        <t>[Extract] | Confidence: 50%</t>
      </text>
    </comment>
    <comment ref="D16" authorId="0" shapeId="0">
      <text>
        <t>[Extract] | Confidence: 50%</t>
      </text>
    </comment>
    <comment ref="E16" authorId="0" shapeId="0">
      <text>
        <t>[Extract] | Confidence: 50%</t>
      </text>
    </comment>
    <comment ref="F16" authorId="0" shapeId="0">
      <text>
        <t>[Extract] | Confidence: 50%</t>
      </text>
    </comment>
    <comment ref="G16" authorId="0" shapeId="0">
      <text>
        <t>[Extract] | Confidence: 50%</t>
      </text>
    </comment>
    <comment ref="C17" authorId="0" shapeId="0">
      <text>
        <t>[Extract] | Confidence: 50%</t>
      </text>
    </comment>
    <comment ref="D17" authorId="0" shapeId="0">
      <text>
        <t>[Extract] | Confidence: 50%</t>
      </text>
    </comment>
    <comment ref="E17" authorId="0" shapeId="0">
      <text>
        <t>[Extract] | Confidence: 50%</t>
      </text>
    </comment>
    <comment ref="F17" authorId="0" shapeId="0">
      <text>
        <t>[Extract] | Confidence: 50%</t>
      </text>
    </comment>
    <comment ref="G17" authorId="0" shapeId="0">
      <text>
        <t>[Extract] | Confidence: 50%</t>
      </text>
    </comment>
  </commentList>
</comments>
</file>

<file path=xl/comments/comment5.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filterMode="0">
    <outlinePr summaryBelow="1" summaryRight="1"/>
    <pageSetUpPr fitToPage="1"/>
  </sheetPr>
  <dimension ref="A1:L6"/>
  <sheetViews>
    <sheetView showFormulas="0" showGridLines="1"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0" customWidth="1" style="17" min="2" max="2"/>
    <col width="40" customWidth="1" style="17" min="3" max="3"/>
    <col width="12" customWidth="1" style="17" min="4" max="4"/>
    <col width="14" customWidth="1" style="17" min="5" max="5"/>
    <col width="16" customWidth="1" style="17" min="6" max="6"/>
    <col width="14" customWidth="1" style="17" min="7" max="7"/>
    <col width="20" customWidth="1" style="17" min="8" max="8"/>
    <col width="22" customWidth="1" style="17" min="9" max="9"/>
    <col width="16" customWidth="1" style="17" min="10" max="10"/>
    <col width="30" customWidth="1" style="17" min="11" max="11"/>
  </cols>
  <sheetData>
    <row r="1" ht="30" customHeight="1" s="18">
      <c r="A1" s="19" t="inlineStr">
        <is>
          <t>Unit of Assurance — Assessment Summary</t>
        </is>
      </c>
    </row>
    <row r="2" ht="23.85" customHeight="1" s="18">
      <c r="A2" s="20" t="inlineStr">
        <is>
          <t>Project Name</t>
        </is>
      </c>
      <c r="B2" s="20" t="inlineStr">
        <is>
          <t>COU Name</t>
        </is>
      </c>
      <c r="C2" s="20" t="inlineStr">
        <is>
          <t>COU Description</t>
        </is>
      </c>
      <c r="D2" s="20" t="inlineStr">
        <is>
          <t>Profile</t>
        </is>
      </c>
      <c r="E2" s="20" t="inlineStr">
        <is>
          <t>Device Class</t>
        </is>
      </c>
      <c r="F2" s="20" t="inlineStr">
        <is>
          <t>Model Risk Level</t>
        </is>
      </c>
      <c r="G2" s="20" t="inlineStr">
        <is>
          <t>Assurance Level</t>
        </is>
      </c>
      <c r="H2" s="20" t="inlineStr">
        <is>
          <t>Standards Reference</t>
        </is>
      </c>
      <c r="I2" s="20" t="inlineStr">
        <is>
          <t>Assessor Name</t>
        </is>
      </c>
      <c r="J2" s="20" t="inlineStr">
        <is>
          <t>Assessment Date</t>
        </is>
      </c>
      <c r="K2" s="20" t="inlineStr">
        <is>
          <t>Source Document</t>
        </is>
      </c>
      <c r="L2" s="21" t="inlineStr">
        <is>
          <t>Has UQ?</t>
        </is>
      </c>
    </row>
    <row r="3" ht="32.8" customHeight="1" s="18">
      <c r="A3" s="39" t="inlineStr">
        <is>
          <t>Pump 250 CFD Q-H and NPSH Prediction</t>
        </is>
      </c>
      <c r="B3" s="39" t="inlineStr">
        <is>
          <t>CFD prediction of Q-H curve, shaft torque, BEP efficiency, volute tongue pressure pulsation, and NPSHr for a 250 mm end-suction centrifugal pump at 1750 rpm</t>
        </is>
      </c>
      <c r="C3" s="39" t="inlineStr">
        <is>
          <t>Steady-state (MRF frozen-rotor) and transient (sliding-mesh) RANS CFD using ANSYS Fluent 2024 R1 to support cutwater clearance and wear ring specification selection before tooling freeze, and to confirm contract head at BEP within 3% and screen cavitation margin (NPSHr ≤ 4.0 m at 3% head-drop criterion). Validation against factory loop measurements at three repeat runs. Results required before week 38 build.</t>
        </is>
      </c>
      <c r="D3" s="39" t="inlineStr">
        <is>
          <t>Complete</t>
        </is>
      </c>
      <c r="E3" s="39" t="inlineStr">
        <is>
          <t>N/A</t>
        </is>
      </c>
      <c r="F3" s="39" t="inlineStr">
        <is>
          <t>MRL 3</t>
        </is>
      </c>
      <c r="G3" s="39" t="inlineStr">
        <is>
          <t>Medium</t>
        </is>
      </c>
      <c r="H3" s="39" t="inlineStr">
        <is>
          <t>ASME-VV40-2018</t>
        </is>
      </c>
      <c r="I3" s="22" t="n"/>
      <c r="J3" s="22" t="inlineStr">
        <is>
          <t>Date of this assessment (YYYY-MM-DD)</t>
        </is>
      </c>
      <c r="K3" s="22" t="inlineStr">
        <is>
          <t>DOI, report number, or URI</t>
        </is>
      </c>
      <c r="L3" s="40" t="inlineStr">
        <is>
          <t>Yes</t>
        </is>
      </c>
    </row>
    <row r="4" ht="15" customHeight="1" s="18">
      <c r="A4" s="24" t="n"/>
      <c r="B4" s="24" t="n"/>
      <c r="C4" s="25" t="n"/>
      <c r="D4" s="24" t="n"/>
      <c r="E4" s="25" t="n"/>
      <c r="F4" s="25" t="n"/>
      <c r="G4" s="25" t="n"/>
      <c r="H4" s="25" t="n"/>
      <c r="I4" s="24" t="n"/>
      <c r="J4" s="24" t="n"/>
      <c r="K4" s="25" t="n"/>
    </row>
    <row r="6" ht="15" customHeight="1" s="18">
      <c r="A6" s="26" t="inlineStr">
        <is>
          <t>Legend:</t>
        </is>
      </c>
      <c r="C6" s="27" t="inlineStr">
        <is>
          <t>Required (Minimal)</t>
        </is>
      </c>
      <c r="D6" s="28" t="inlineStr">
        <is>
          <t>Required (Complete)</t>
        </is>
      </c>
      <c r="E6" s="29" t="inlineStr">
        <is>
          <t>Optional</t>
        </is>
      </c>
    </row>
  </sheetData>
  <mergeCells count="2">
    <mergeCell ref="A1:K1"/>
    <mergeCell ref="A6:B6"/>
  </mergeCells>
  <dataValidations count="5">
    <dataValidation sqref="D4" showDropDown="0" showInputMessage="0" showErrorMessage="0" allowBlank="0" error="Select Minimal or Complete" type="list" errorStyle="stop" operator="between">
      <formula1>list_profile</formula1>
      <formula2>0</formula2>
    </dataValidation>
    <dataValidation sqref="E4" showDropDown="0" showInputMessage="0" showErrorMessage="0" allowBlank="1" type="list" errorStyle="stop" operator="between">
      <formula1>list_device_class</formula1>
      <formula2>0</formula2>
    </dataValidation>
    <dataValidation sqref="F4" showDropDown="0" showInputMessage="0" showErrorMessage="0" allowBlank="1" type="list" errorStyle="stop" operator="between">
      <formula1>list_mrl</formula1>
      <formula2>0</formula2>
    </dataValidation>
    <dataValidation sqref="G4" showDropDown="0" showInputMessage="0" showErrorMessage="0" allowBlank="1" type="list" errorStyle="stop" operator="between">
      <formula1>list_assurance</formula1>
      <formula2>0</formula2>
    </dataValidation>
    <dataValidation sqref="H4" showDropDown="0" showInputMessage="0" showErrorMessage="0" allowBlank="1" type="list" errorStyle="stop" operator="between">
      <formula1>list_standards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1"/>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7" min="1" max="1"/>
    <col width="90" customWidth="1" style="17" min="2" max="2"/>
  </cols>
  <sheetData>
    <row r="1" ht="30" customHeight="1" s="18">
      <c r="A1" s="19" t="inlineStr">
        <is>
          <t>UofA Excel Template — Instructions</t>
        </is>
      </c>
    </row>
    <row r="3" ht="39.75" customHeight="1" s="18">
      <c r="A3" s="30" t="inlineStr">
        <is>
          <t>What is this?</t>
        </is>
      </c>
      <c r="B3" s="31" t="inlineStr">
        <is>
          <t>This workbook captures a credibility assessment for one Context of Use (COU). Fill it out, then run `uofa import` to convert it to a machine-verifiable evidence package.</t>
        </is>
      </c>
    </row>
    <row r="4" ht="39.75" customHeight="1" s="18">
      <c r="A4" s="30" t="inlineStr">
        <is>
          <t>One workbook = one COU</t>
        </is>
      </c>
      <c r="B4" s="31" t="inlineStr">
        <is>
          <t>If your project has multiple COUs (e.g., different device classes or risk levels for the same model), create a separate workbook for each.</t>
        </is>
      </c>
    </row>
    <row r="5" ht="39.75" customHeight="1" s="18">
      <c r="A5" s="30" t="inlineStr">
        <is>
          <t>Profiles</t>
        </is>
      </c>
      <c r="B5" s="31" t="inlineStr">
        <is>
          <t>Minimal (7 fields, lightweight audit trail) is for early-stage projects or live pipeline capture. Complete (full V&amp;V 40 assessment) is for regulatory submissions.</t>
        </is>
      </c>
    </row>
    <row r="6" ht="39.75" customHeight="1" s="18">
      <c r="A6" s="30" t="inlineStr">
        <is>
          <t>Color coding</t>
        </is>
      </c>
      <c r="B6" s="31" t="inlineStr">
        <is>
          <t>Blue cells = required for Minimal profile. Green cells = required for Complete profile. White cells = optional.</t>
        </is>
      </c>
    </row>
    <row r="7" ht="39.75" customHeight="1" s="18">
      <c r="A7" s="30" t="inlineStr">
        <is>
          <t>Credibility Factors</t>
        </is>
      </c>
      <c r="B7" s="31" t="inlineStr">
        <is>
          <t>Sheet 4 is pre-populated with all 13 V&amp;V 40 factors from Table 5-1. You do not need to assess all 13 — set Assessed = "No" or "N/A" for factors not relevant to your COU.</t>
        </is>
      </c>
    </row>
    <row r="8" ht="39.75" customHeight="1" s="18">
      <c r="A8" s="30" t="inlineStr">
        <is>
          <t>Dropdowns</t>
        </is>
      </c>
      <c r="B8" s="31" t="inlineStr">
        <is>
          <t>Most constrained fields use dropdown lists. If you need a custom value not in the dropdown, type it directly (the validation will warn but not prevent entry).</t>
        </is>
      </c>
    </row>
    <row r="9" ht="39.75" customHeight="1" s="18">
      <c r="A9" s="30" t="inlineStr">
        <is>
          <t>After filling out</t>
        </is>
      </c>
      <c r="B9" s="31" t="inlineStr">
        <is>
          <t>Run: uofa import your-file.xlsx --sign --key keys/your.key --check</t>
        </is>
      </c>
    </row>
    <row r="10" ht="39.75" customHeight="1" s="18">
      <c r="A10" s="30" t="inlineStr">
        <is>
          <t>What the tool checks</t>
        </is>
      </c>
      <c r="B10" s="31" t="inlineStr">
        <is>
          <t>Gate 1 (SHACL): Are all required fields present? Gate 2 (Jena rules): Are there quality gaps (weakeners)? Gate 3 (Integrity): Is the hash and signature valid?</t>
        </is>
      </c>
    </row>
    <row r="11" ht="39.75" customHeight="1" s="18">
      <c r="A11" s="30" t="inlineStr">
        <is>
          <t>More info</t>
        </is>
      </c>
      <c r="B11" s="31" t="inlineStr">
        <is>
          <t>https://crediblesimulation.com | https://github.com/cloudronin/uofa</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18">
      <c r="A1" s="32" t="inlineStr">
        <is>
          <t>Profile</t>
        </is>
      </c>
      <c r="B1" s="32" t="inlineStr">
        <is>
          <t>Device Class</t>
        </is>
      </c>
      <c r="C1" s="32" t="inlineStr">
        <is>
          <t>Model Risk Level</t>
        </is>
      </c>
      <c r="D1" s="32" t="inlineStr">
        <is>
          <t>Assurance Level</t>
        </is>
      </c>
      <c r="E1" s="32" t="inlineStr">
        <is>
          <t>Standards Reference</t>
        </is>
      </c>
      <c r="F1" s="32" t="inlineStr">
        <is>
          <t>Entity Type</t>
        </is>
      </c>
      <c r="G1" s="32" t="inlineStr">
        <is>
          <t>Has UQ</t>
        </is>
      </c>
      <c r="H1" s="32" t="inlineStr">
        <is>
          <t>Pass/Fail</t>
        </is>
      </c>
      <c r="I1" s="32" t="inlineStr">
        <is>
          <t>Factor Level (1-5)</t>
        </is>
      </c>
      <c r="J1" s="32" t="inlineStr">
        <is>
          <t>Factor Status</t>
        </is>
      </c>
      <c r="K1" s="32" t="inlineStr">
        <is>
          <t>Decision Outcome</t>
        </is>
      </c>
      <c r="L1" s="17" t="inlineStr">
        <is>
          <t>Has UQ (COU-level)</t>
        </is>
      </c>
    </row>
    <row r="2" ht="15" customHeight="1" s="18">
      <c r="A2" s="17" t="inlineStr">
        <is>
          <t>Minimal</t>
        </is>
      </c>
      <c r="B2" s="17" t="inlineStr">
        <is>
          <t>Class I</t>
        </is>
      </c>
      <c r="C2" s="17" t="inlineStr">
        <is>
          <t>MRL 1</t>
        </is>
      </c>
      <c r="D2" s="17" t="inlineStr">
        <is>
          <t>Low</t>
        </is>
      </c>
      <c r="E2" s="17" t="inlineStr">
        <is>
          <t>ASME-VV40-2018</t>
        </is>
      </c>
      <c r="F2" s="17" t="inlineStr">
        <is>
          <t>Requirement</t>
        </is>
      </c>
      <c r="G2" s="17" t="inlineStr">
        <is>
          <t>Yes</t>
        </is>
      </c>
      <c r="H2" s="17" t="inlineStr">
        <is>
          <t>Pass</t>
        </is>
      </c>
      <c r="I2" s="17" t="n">
        <v>1</v>
      </c>
      <c r="J2" s="17" t="inlineStr">
        <is>
          <t>assessed</t>
        </is>
      </c>
      <c r="K2" s="17" t="inlineStr">
        <is>
          <t>Accepted</t>
        </is>
      </c>
      <c r="L2" s="17" t="inlineStr">
        <is>
          <t>Yes</t>
        </is>
      </c>
    </row>
    <row r="3" ht="15" customHeight="1" s="18">
      <c r="A3" s="17" t="inlineStr">
        <is>
          <t>Complete</t>
        </is>
      </c>
      <c r="B3" s="17" t="inlineStr">
        <is>
          <t>Class II</t>
        </is>
      </c>
      <c r="C3" s="17" t="inlineStr">
        <is>
          <t>MRL 2</t>
        </is>
      </c>
      <c r="D3" s="17" t="inlineStr">
        <is>
          <t>Medium</t>
        </is>
      </c>
      <c r="E3" s="17" t="inlineStr">
        <is>
          <t>NASA-STD-7009B</t>
        </is>
      </c>
      <c r="F3" s="17" t="inlineStr">
        <is>
          <t>Model</t>
        </is>
      </c>
      <c r="G3" s="17" t="inlineStr">
        <is>
          <t>No</t>
        </is>
      </c>
      <c r="H3" s="17" t="inlineStr">
        <is>
          <t>Fail</t>
        </is>
      </c>
      <c r="I3" s="17" t="n">
        <v>2</v>
      </c>
      <c r="J3" s="17" t="inlineStr">
        <is>
          <t>not-assessed</t>
        </is>
      </c>
      <c r="K3" s="17" t="inlineStr">
        <is>
          <t>Not accepted</t>
        </is>
      </c>
      <c r="L3" s="17" t="inlineStr">
        <is>
          <t>No</t>
        </is>
      </c>
    </row>
    <row r="4" ht="15" customHeight="1" s="18">
      <c r="B4" s="17" t="inlineStr">
        <is>
          <t>Class III</t>
        </is>
      </c>
      <c r="C4" s="17" t="inlineStr">
        <is>
          <t>MRL 3</t>
        </is>
      </c>
      <c r="D4" s="17" t="inlineStr">
        <is>
          <t>High</t>
        </is>
      </c>
      <c r="E4" s="17" t="inlineStr">
        <is>
          <t>FDA-2023-CMS</t>
        </is>
      </c>
      <c r="F4" s="17" t="inlineStr">
        <is>
          <t>Dataset</t>
        </is>
      </c>
      <c r="H4" s="17" t="inlineStr">
        <is>
          <t>Inconclusive</t>
        </is>
      </c>
      <c r="I4" s="17" t="n">
        <v>3</v>
      </c>
      <c r="J4" s="17" t="inlineStr">
        <is>
          <t>scoped-out</t>
        </is>
      </c>
      <c r="K4" s="17" t="inlineStr">
        <is>
          <t>Conditional</t>
        </is>
      </c>
    </row>
    <row r="5" ht="15" customHeight="1" s="18">
      <c r="B5" s="17" t="inlineStr">
        <is>
          <t>Category A</t>
        </is>
      </c>
      <c r="C5" s="17" t="inlineStr">
        <is>
          <t>MRL 4</t>
        </is>
      </c>
      <c r="E5" s="17" t="inlineStr">
        <is>
          <t>Custom</t>
        </is>
      </c>
      <c r="H5" s="17" t="inlineStr">
        <is>
          <t>N/A</t>
        </is>
      </c>
      <c r="I5" s="17" t="n">
        <v>4</v>
      </c>
      <c r="J5" s="17" t="inlineStr">
        <is>
          <t>not-applicable</t>
        </is>
      </c>
    </row>
    <row r="6" ht="15" customHeight="1" s="18">
      <c r="B6" s="17" t="inlineStr">
        <is>
          <t>Category B</t>
        </is>
      </c>
      <c r="C6" s="17" t="inlineStr">
        <is>
          <t>MRL 5</t>
        </is>
      </c>
      <c r="I6" s="17" t="n">
        <v>5</v>
      </c>
    </row>
    <row r="7" ht="15" customHeight="1" s="18">
      <c r="B7" s="17" t="inlineStr">
        <is>
          <t>Category C</t>
        </is>
      </c>
    </row>
    <row r="8" ht="15" customHeight="1" s="18">
      <c r="B8" s="17" t="inlineStr">
        <is>
          <t>Category D</t>
        </is>
      </c>
    </row>
    <row r="9" ht="15" customHeight="1" s="18">
      <c r="B9" s="17" t="inlineStr">
        <is>
          <t>Category E</t>
        </is>
      </c>
    </row>
    <row r="10" ht="15" customHeight="1" s="18">
      <c r="B10" s="17" t="inlineStr">
        <is>
          <t>Other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5" customWidth="1" style="17" min="2" max="2"/>
    <col width="40" customWidth="1" style="17" min="3" max="3"/>
    <col width="45" customWidth="1" style="17" min="4" max="4"/>
    <col width="12" customWidth="1" style="17" min="5" max="5"/>
    <col width="20" customWidth="1" style="17" min="6" max="6"/>
  </cols>
  <sheetData>
    <row r="1" ht="30" customHeight="1" s="18">
      <c r="A1" s="19" t="inlineStr">
        <is>
          <t>Model &amp; Data — What you modeled and compared against</t>
        </is>
      </c>
    </row>
    <row r="2" ht="15" customHeight="1" s="18">
      <c r="A2" s="20" t="inlineStr">
        <is>
          <t>Entity Type</t>
        </is>
      </c>
      <c r="B2" s="20" t="inlineStr">
        <is>
          <t>Name</t>
        </is>
      </c>
      <c r="C2" s="20" t="inlineStr">
        <is>
          <t>Identifier / URI</t>
        </is>
      </c>
      <c r="D2" s="20" t="inlineStr">
        <is>
          <t>Description</t>
        </is>
      </c>
      <c r="E2" s="20" t="inlineStr">
        <is>
          <t>Version</t>
        </is>
      </c>
      <c r="F2" s="20" t="inlineStr">
        <is>
          <t>Source</t>
        </is>
      </c>
    </row>
    <row r="3" ht="32.8" customHeight="1" s="18">
      <c r="A3" s="39" t="inlineStr">
        <is>
          <t>Requirement</t>
        </is>
      </c>
      <c r="B3" s="39" t="inlineStr">
        <is>
          <t>BEP Head Agreement ≤ 3% and NPSHr ≤ 4.0 m</t>
        </is>
      </c>
      <c r="C3" s="22" t="inlineStr">
        <is>
          <t>Stable URI or local ID</t>
        </is>
      </c>
      <c r="D3" s="39" t="inlineStr">
        <is>
          <t>CFD predictions must match factory-loop measured head within ±3% at BEP, torque within ±4% at BEP, NPSHr within ±0.5 m of test at 3% head-drop criterion, and tongue pulsation within 30% of probe rms at 0.9–1.1×Qdes. These thresholds gate tooling freeze and contract compliance decisions.</t>
        </is>
      </c>
      <c r="E3" s="22" t="inlineStr">
        <is>
          <t>Version number (optional)</t>
        </is>
      </c>
      <c r="F3" s="22" t="inlineStr">
        <is>
          <t>Where this came from (optional)</t>
        </is>
      </c>
    </row>
    <row r="4" ht="15" customHeight="1" s="18">
      <c r="A4" s="41" t="inlineStr">
        <is>
          <t>Requirement</t>
        </is>
      </c>
      <c r="B4" s="41" t="inlineStr">
        <is>
          <t>Off-Design Head Agreement ≤ 5%</t>
        </is>
      </c>
      <c r="C4" s="24" t="n"/>
      <c r="D4" s="41" t="inlineStr">
        <is>
          <t>Head predictions must fall within ±5% of test data outside the 0.8–1.1×Qdes range (revised from the initial ±2% across-map target after dry-run comparison). Low-flow behavior informs motor sizing risk and warranty exposure.</t>
        </is>
      </c>
      <c r="E4" s="33" t="n"/>
      <c r="F4" s="33" t="n"/>
    </row>
    <row r="5" ht="15" customHeight="1" s="18">
      <c r="A5" s="41" t="inlineStr">
        <is>
          <t>Model</t>
        </is>
      </c>
      <c r="B5" s="41" t="inlineStr">
        <is>
          <t>ANSYS Fluent 2024 R1 RANS CFD Model</t>
        </is>
      </c>
      <c r="C5" s="24" t="n"/>
      <c r="D5" s="41" t="inlineStr">
        <is>
          <t>Pressure-based coupled solver, SST k-omega with low-Re correction (primary), poly-hexcore/structured mesh (7.4 M–25.6 M cells), MRF for performance map and transient sliding-mesh for two operating points. Cavitation model disabled in production runs; NPSHr inferred from single-phase sigma-sweep extrapolation.</t>
        </is>
      </c>
      <c r="E5" s="33" t="n"/>
      <c r="F5" s="33" t="n"/>
    </row>
    <row r="6" ht="15" customHeight="1" s="18">
      <c r="A6" s="41" t="inlineStr">
        <is>
          <t>Dataset</t>
        </is>
      </c>
      <c r="B6" s="41" t="inlineStr">
        <is>
          <t>Factory Loop Validation Data</t>
        </is>
      </c>
      <c r="C6" s="24" t="n"/>
      <c r="D6" s="41" t="inlineStr">
        <is>
          <t>Three repeat runs on factory hydraulic loop at 1746–1752 rpm; calibrated magnetic flowmeter (±0.5%), differential head cell (±0.25% FS), torque meter (±0.2% FS); water at 24–27 °C. Provides Q-H, torque, and tongue rms pressure reference data for validation comparison.</t>
        </is>
      </c>
      <c r="E6" s="33" t="n"/>
      <c r="F6" s="33" t="n"/>
    </row>
    <row r="7" ht="15" customHeight="1" s="18">
      <c r="A7" s="41" t="inlineStr">
        <is>
          <t>Dataset</t>
        </is>
      </c>
      <c r="B7" s="41" t="inlineStr">
        <is>
          <t>GitLab Repo PUMP250_CFD v1.7</t>
        </is>
      </c>
      <c r="C7" s="24" t="n"/>
      <c r="D7" s="41" t="inlineStr">
        <is>
          <t>Version-controlled repository containing all CFD case setups, meshes, and post-processing scripts. Partial scripting gap noted: Slide 10 overlay post-processing used manual Excel/CSV workflow.</t>
        </is>
      </c>
      <c r="E7" s="33" t="n"/>
      <c r="F7" s="33" t="n"/>
    </row>
    <row r="8" ht="15" customHeight="1" s="18">
      <c r="A8" s="24" t="n"/>
      <c r="B8" s="24" t="n"/>
      <c r="C8" s="24" t="n"/>
      <c r="D8" s="33" t="n"/>
      <c r="E8" s="33" t="n"/>
      <c r="F8" s="33" t="n"/>
    </row>
    <row r="9" ht="15" customHeight="1" s="18">
      <c r="A9" s="24" t="n"/>
      <c r="B9" s="24" t="n"/>
      <c r="C9" s="24" t="n"/>
      <c r="D9" s="33" t="n"/>
      <c r="E9" s="33" t="n"/>
      <c r="F9" s="33" t="n"/>
    </row>
    <row r="10" ht="15" customHeight="1" s="18">
      <c r="A10" s="24" t="n"/>
      <c r="B10" s="24" t="n"/>
      <c r="C10" s="24" t="n"/>
      <c r="D10" s="33" t="n"/>
      <c r="E10" s="33" t="n"/>
      <c r="F10" s="33" t="n"/>
    </row>
    <row r="11" ht="15" customHeight="1" s="18">
      <c r="A11" s="24" t="n"/>
      <c r="B11" s="24" t="n"/>
      <c r="C11" s="24" t="n"/>
      <c r="D11" s="33" t="n"/>
      <c r="E11" s="33" t="n"/>
      <c r="F11" s="33" t="n"/>
    </row>
    <row r="12" ht="15" customHeight="1" s="18">
      <c r="A12" s="24" t="n"/>
      <c r="B12" s="24" t="n"/>
      <c r="C12" s="24" t="n"/>
      <c r="D12" s="33" t="n"/>
      <c r="E12" s="33" t="n"/>
      <c r="F12" s="33" t="n"/>
    </row>
    <row r="13" ht="15" customHeight="1" s="18">
      <c r="A13" s="24" t="n"/>
      <c r="B13" s="24" t="n"/>
      <c r="C13" s="24" t="n"/>
      <c r="D13" s="33" t="n"/>
      <c r="E13" s="33" t="n"/>
      <c r="F13" s="33" t="n"/>
    </row>
  </sheetData>
  <mergeCells count="1">
    <mergeCell ref="A1:F1"/>
  </mergeCells>
  <dataValidations count="1">
    <dataValidation sqref="A4:A13" showDropDown="0" showInputMessage="0" showErrorMessage="0" allowBlank="1" type="list" errorStyle="stop" operator="between">
      <formula1>list_entity_type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I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5" customWidth="1" style="17" min="1" max="1"/>
    <col width="35" customWidth="1" style="17" min="2" max="2"/>
    <col width="45" customWidth="1" style="17" min="3" max="3"/>
    <col width="35" customWidth="1" style="17" min="4" max="4"/>
    <col width="10" customWidth="1" style="17" min="5" max="5"/>
    <col width="30" customWidth="1" style="17" min="6" max="6"/>
    <col width="18" customWidth="1" style="17" min="7" max="7"/>
    <col width="14" customWidth="1" style="17" min="8" max="8"/>
  </cols>
  <sheetData>
    <row r="1" ht="30" customHeight="1" s="18">
      <c r="A1" s="19" t="inlineStr">
        <is>
          <t>Validation Results — What you found when you tested the model</t>
        </is>
      </c>
    </row>
    <row r="2" ht="15" customHeight="1" s="18">
      <c r="A2" s="20" t="inlineStr">
        <is>
          <t>Result Name</t>
        </is>
      </c>
      <c r="B2" s="20" t="inlineStr">
        <is>
          <t>Identifier / URI</t>
        </is>
      </c>
      <c r="C2" s="20" t="inlineStr">
        <is>
          <t>Description</t>
        </is>
      </c>
      <c r="D2" s="20" t="inlineStr">
        <is>
          <t>Compares To</t>
        </is>
      </c>
      <c r="E2" s="20" t="inlineStr">
        <is>
          <t>Has UQ?</t>
        </is>
      </c>
      <c r="F2" s="20" t="inlineStr">
        <is>
          <t>UQ Method</t>
        </is>
      </c>
      <c r="G2" s="20" t="inlineStr">
        <is>
          <t>Metric Value</t>
        </is>
      </c>
      <c r="H2" s="20" t="inlineStr">
        <is>
          <t>Pass / Fail</t>
        </is>
      </c>
    </row>
    <row r="3" ht="32.8" customHeight="1" s="18">
      <c r="A3" s="39" t="inlineStr">
        <is>
          <t>BEP Head and Torque Comparison to Factory Loop</t>
        </is>
      </c>
      <c r="B3" s="39" t="inlineStr">
        <is>
          <t>ValidationResult</t>
        </is>
      </c>
      <c r="C3" s="22" t="inlineStr">
        <is>
          <t>What was done, what was found</t>
        </is>
      </c>
      <c r="D3" s="39" t="inlineStr">
        <is>
          <t>Medium-grid SST CFD head at BEP (1.02×Qdes, 1750 rpm) compared to three factory-loop repeats. Head error +0.5%, torque error +1.2% at BEP.</t>
        </is>
      </c>
      <c r="E3" s="39" t="inlineStr">
        <is>
          <t>Factory loop calibrated differential head cell and torque meter; three repeat runs at 1746–1752 rpm</t>
        </is>
      </c>
      <c r="F3" s="39" t="inlineStr">
        <is>
          <t>Yes</t>
        </is>
      </c>
      <c r="G3" s="39" t="inlineStr">
        <is>
          <t>Latin Hypercube Sampling (30 samples) on fast surrogate; 95% head interval at BEP ±1.2 m reported</t>
        </is>
      </c>
      <c r="H3" s="39" t="inlineStr">
        <is>
          <t>Head error +0.5% (within ±3% criterion); torque +1.2% (within ±4% criterion)</t>
        </is>
      </c>
      <c r="I3" s="42" t="inlineStr">
        <is>
          <t>Pass</t>
        </is>
      </c>
    </row>
    <row r="4" ht="15" customHeight="1" s="18">
      <c r="A4" s="41" t="inlineStr">
        <is>
          <t>Off-Design Head Comparison (Low Flow and High Flow)</t>
        </is>
      </c>
      <c r="B4" s="41" t="inlineStr">
        <is>
          <t>ValidationResult</t>
        </is>
      </c>
      <c r="C4" s="33" t="n"/>
      <c r="D4" s="41" t="inlineStr">
        <is>
          <t>CFD head compared to test at 0.6×Qdes and 1.2×Qdes. At 0.6×Qdes, CFD overpredicts head by 9–12% depending on mesh; at 1.2×Qdes, head within 4%. Tongue rms pulsation 35% below probe rms at 0.6×Qdes (outside 30% tolerance). Volute exit swirl angle underpredicted by ~6° at 1.2×Qdes.</t>
        </is>
      </c>
      <c r="E4" s="41" t="inlineStr">
        <is>
          <t>Factory loop measured head and tongue pressure probe rms; volute exit flow angle from test</t>
        </is>
      </c>
      <c r="F4" s="41" t="inlineStr">
        <is>
          <t>No</t>
        </is>
      </c>
      <c r="G4" s="33" t="n"/>
      <c r="H4" s="41" t="inlineStr">
        <is>
          <t>Low-flow head error 9–12%; tongue pulsation 35% low vs 30% criterion; swirl angle 6° underpredicted</t>
        </is>
      </c>
      <c r="I4" s="42" t="inlineStr">
        <is>
          <t>Fail</t>
        </is>
      </c>
    </row>
    <row r="5" ht="15" customHeight="1" s="18">
      <c r="A5" s="41" t="inlineStr">
        <is>
          <t>NPSHr Estimation via Single-Phase Sigma-Sweep</t>
        </is>
      </c>
      <c r="B5" s="41" t="inlineStr">
        <is>
          <t>ValidationResult</t>
        </is>
      </c>
      <c r="C5" s="33" t="n"/>
      <c r="D5" s="41" t="inlineStr">
        <is>
          <t>Cavitation model disabled due to convergence stalls. NPSHr inferred by extrapolating single-phase loss trend to 3% head drop criterion. Estimated NPSHr ~3.7 m (within ±0.5 m acceptance band of 4.0 m limit) with 95% uncertainty interval of ±0.4 m from LHS UQ. Method deviates from planned Zwart-Gerber-Belamri cavitation model; no direct cavitating-flow validation.</t>
        </is>
      </c>
      <c r="E5" s="41" t="inlineStr">
        <is>
          <t>Contract limit of NPSHr ≤ 4.0 m; earlier ZGB pilot predicted 3.4 m (not validated)</t>
        </is>
      </c>
      <c r="F5" s="41" t="inlineStr">
        <is>
          <t>Yes</t>
        </is>
      </c>
      <c r="G5" s="41" t="inlineStr">
        <is>
          <t>Latin Hypercube Sampling surrogate (single-phase inference, limited support points)</t>
        </is>
      </c>
      <c r="H5" s="41" t="inlineStr">
        <is>
          <t>NPSHr ~3.7 m, ±0.4 m (95%); within 4.0 m limit but method fidelity unconfirmed</t>
        </is>
      </c>
      <c r="I5" s="42" t="inlineStr">
        <is>
          <t>Inconclusive</t>
        </is>
      </c>
    </row>
    <row r="6" ht="15" customHeight="1" s="18">
      <c r="A6" s="41" t="inlineStr">
        <is>
          <t>Mesh Convergence Study (GCI, MRF, Head at BEP)</t>
        </is>
      </c>
      <c r="B6" s="41" t="inlineStr">
        <is>
          <t>ValidationResult</t>
        </is>
      </c>
      <c r="C6" s="33" t="n"/>
      <c r="D6" s="41" t="inlineStr">
        <is>
          <t>Three-level grid refinement study on MRF frozen-rotor model: Coarse 7.4 M, Medium 12.9 M, Fine 25.6 M cells. Richardson extrapolated head 58.9 m; observed order ~1.9; GCI for Medium grid ~0.7% at BEP head. Tongue rms pulsation (transient SM) shows 7% gap between Medium and Fine; no GCI reported for transient cases.</t>
        </is>
      </c>
      <c r="E6" s="41" t="inlineStr">
        <is>
          <t>Richardson extrapolated solution</t>
        </is>
      </c>
      <c r="F6" s="41" t="inlineStr">
        <is>
          <t>Yes</t>
        </is>
      </c>
      <c r="G6" s="41" t="inlineStr">
        <is>
          <t>Richardson Extrapolation / Grid Convergence Index (GCI)</t>
        </is>
      </c>
      <c r="H6" s="41" t="inlineStr">
        <is>
          <t>GCI ~0.7% for Medium-grid head at BEP; order ~1.9; tongue rms 7% Medium-to-Fine gap (no GCI)</t>
        </is>
      </c>
      <c r="I6" s="42" t="inlineStr">
        <is>
          <t>Pass</t>
        </is>
      </c>
    </row>
    <row r="7" ht="15" customHeight="1" s="18">
      <c r="A7" s="41" t="inlineStr">
        <is>
          <t>Code Verification Spot Checks (Lid-Driven Cavity and Pipe Friction)</t>
        </is>
      </c>
      <c r="B7" s="41" t="inlineStr">
        <is>
          <t>ValidationResult</t>
        </is>
      </c>
      <c r="C7" s="33" t="n"/>
      <c r="D7" s="41" t="inlineStr">
        <is>
          <t>Internal benchmarks: lid-driven cavity (Re=1000) shows ~1.95 observed order on grid doubling 64→128→256; straight pipe SST k-omega friction factor within 2% of Blasius correlation at Re=1e5.</t>
        </is>
      </c>
      <c r="E7" s="41" t="inlineStr">
        <is>
          <t>Analytical/semi-empirical solutions (Blasius correlation, benchmark lid-driven cavity)</t>
        </is>
      </c>
      <c r="F7" s="41" t="inlineStr">
        <is>
          <t>No</t>
        </is>
      </c>
      <c r="G7" s="33" t="n"/>
      <c r="H7" s="41" t="inlineStr">
        <is>
          <t>Order ~1.95 (cavity); friction factor error &lt;2% (pipe)</t>
        </is>
      </c>
      <c r="I7" s="42" t="inlineStr">
        <is>
          <t>Pass</t>
        </is>
      </c>
    </row>
    <row r="8" ht="15" customHeight="1" s="18">
      <c r="A8" s="24" t="n"/>
      <c r="B8" s="24" t="n"/>
      <c r="C8" s="33" t="n"/>
      <c r="D8" s="33" t="n"/>
      <c r="E8" s="25" t="n"/>
      <c r="F8" s="33" t="n"/>
      <c r="G8" s="33" t="n"/>
      <c r="H8" s="33" t="n"/>
    </row>
    <row r="9" ht="15" customHeight="1" s="18">
      <c r="A9" s="24" t="n"/>
      <c r="B9" s="24" t="n"/>
      <c r="C9" s="33" t="n"/>
      <c r="D9" s="33" t="n"/>
      <c r="E9" s="25" t="n"/>
      <c r="F9" s="33" t="n"/>
      <c r="G9" s="33" t="n"/>
      <c r="H9" s="33" t="n"/>
    </row>
    <row r="10" ht="15" customHeight="1" s="18">
      <c r="A10" s="24" t="n"/>
      <c r="B10" s="24" t="n"/>
      <c r="C10" s="33" t="n"/>
      <c r="D10" s="33" t="n"/>
      <c r="E10" s="25" t="n"/>
      <c r="F10" s="33" t="n"/>
      <c r="G10" s="33" t="n"/>
      <c r="H10" s="33" t="n"/>
    </row>
    <row r="11" ht="15" customHeight="1" s="18">
      <c r="A11" s="24" t="n"/>
      <c r="B11" s="24" t="n"/>
      <c r="C11" s="33" t="n"/>
      <c r="D11" s="33" t="n"/>
      <c r="E11" s="25" t="n"/>
      <c r="F11" s="33" t="n"/>
      <c r="G11" s="33" t="n"/>
      <c r="H11" s="33" t="n"/>
    </row>
    <row r="12" ht="15" customHeight="1" s="18">
      <c r="A12" s="24" t="n"/>
      <c r="B12" s="24" t="n"/>
      <c r="C12" s="33" t="n"/>
      <c r="D12" s="33" t="n"/>
      <c r="E12" s="25" t="n"/>
      <c r="F12" s="33" t="n"/>
      <c r="G12" s="33" t="n"/>
      <c r="H12" s="33" t="n"/>
    </row>
    <row r="13" ht="15" customHeight="1" s="18">
      <c r="A13" s="24" t="n"/>
      <c r="B13" s="24" t="n"/>
      <c r="C13" s="33" t="n"/>
      <c r="D13" s="33" t="n"/>
      <c r="E13" s="25" t="n"/>
      <c r="F13" s="33" t="n"/>
      <c r="G13" s="33" t="n"/>
      <c r="H13" s="33" t="n"/>
    </row>
  </sheetData>
  <mergeCells count="1">
    <mergeCell ref="A1:H1"/>
  </mergeCells>
  <dataValidations count="2">
    <dataValidation sqref="E4:E13" showDropDown="0" showInputMessage="0" showErrorMessage="0" allowBlank="1" type="list" errorStyle="stop" operator="between">
      <formula1>list_has_uq</formula1>
      <formula2>0</formula2>
    </dataValidation>
    <dataValidation sqref="H4:H13" showDropDown="0" showInputMessage="0" showErrorMessage="0" allowBlank="1" type="list" errorStyle="stop" operator="between">
      <formula1>list_pass_fail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25" customWidth="1" style="17" min="2" max="2"/>
    <col width="16" customWidth="1" style="17" min="3" max="4"/>
    <col width="40" customWidth="1" style="17" min="5" max="5"/>
    <col width="12" customWidth="1" style="17" min="6" max="6"/>
    <col width="22" customWidth="1" style="18" min="8" max="8"/>
  </cols>
  <sheetData>
    <row r="1" ht="30" customHeight="1" s="18">
      <c r="A1" s="19" t="inlineStr">
        <is>
          <t>Credibility Factors — V&amp;V 40 Table 5-1 Assessment</t>
        </is>
      </c>
    </row>
    <row r="2" ht="30" customHeight="1" s="18">
      <c r="A2" s="34" t="inlineStr">
        <is>
          <t>Complete profile only. Assess each relevant factor: set Required Level (goal given model risk) and Achieved Level (what evidence supports).</t>
        </is>
      </c>
    </row>
    <row r="3" ht="15" customHeight="1" s="18">
      <c r="A3" s="20" t="inlineStr">
        <is>
          <t>Factor Type</t>
        </is>
      </c>
      <c r="B3" s="20" t="inlineStr">
        <is>
          <t>Category</t>
        </is>
      </c>
      <c r="C3" s="20" t="inlineStr">
        <is>
          <t>Required Level</t>
        </is>
      </c>
      <c r="D3" s="20" t="inlineStr">
        <is>
          <t>Achieved Level</t>
        </is>
      </c>
      <c r="E3" s="21" t="inlineStr">
        <is>
          <t>Acceptance Criteria</t>
        </is>
      </c>
      <c r="F3" s="20" t="inlineStr">
        <is>
          <t>Rationale</t>
        </is>
      </c>
      <c r="G3" s="20" t="inlineStr">
        <is>
          <t>Factor Status</t>
        </is>
      </c>
      <c r="H3" s="37" t="inlineStr">
        <is>
          <t>Linked Evidence</t>
        </is>
      </c>
    </row>
    <row r="4" ht="22.35" customHeight="1" s="18">
      <c r="A4" s="22" t="inlineStr">
        <is>
          <t>V&amp;V 40 factor (pre-filled, do not edit)</t>
        </is>
      </c>
      <c r="B4" s="22" t="inlineStr">
        <is>
          <t>Grouping (pre-filled)</t>
        </is>
      </c>
      <c r="C4" s="22" t="inlineStr">
        <is>
          <t>Credibility goal for this factor (1-5)</t>
        </is>
      </c>
      <c r="D4" s="22" t="inlineStr">
        <is>
          <t>Level achieved by evidence (1-5)</t>
        </is>
      </c>
      <c r="E4" s="23" t="inlineStr">
        <is>
          <t>Goal and basis for the required level (from V&amp;V 40 Tables 3-4)</t>
        </is>
      </c>
      <c r="F4" s="22" t="inlineStr">
        <is>
          <t>Brief justification (esp. if achieved &lt; required)</t>
        </is>
      </c>
      <c r="G4" s="22" t="inlineStr">
        <is>
          <t>assessed / not-assessed / scoped-out / not-applicable</t>
        </is>
      </c>
      <c r="H4" s="38" t="inlineStr">
        <is>
          <t>URI of validation result that supports this factor (optional)</t>
        </is>
      </c>
    </row>
    <row r="5" ht="15" customHeight="1" s="18">
      <c r="A5" s="35" t="inlineStr">
        <is>
          <t>Software quality assurance</t>
        </is>
      </c>
      <c r="B5" s="36" t="inlineStr">
        <is>
          <t>Verification — Code</t>
        </is>
      </c>
      <c r="C5" s="41" t="n">
        <v>3</v>
      </c>
      <c r="D5" s="41" t="n">
        <v>2</v>
      </c>
      <c r="E5" s="42" t="inlineStr">
        <is>
          <t>Commercial solver with documented QA process and version control; peer review completed and signed</t>
        </is>
      </c>
      <c r="F5" s="41" t="inlineStr">
        <is>
          <t>ANSYS Fluent 2024 R1 is a widely used commercial solver with vendor-claimed formal second-order accuracy. All case files are version-controlled in GitLab (PUMP250_CFD tag v1.7). However, parallel reduction reproducibility was not independently audited. The team QA checklist shows "peer review completed" but the calendar note confirms the review was moved to the next sprint and prior-baseline comments remain undispositioned. QA process is partially in place but peer review is incomplete.</t>
        </is>
      </c>
      <c r="G5" s="41" t="inlineStr">
        <is>
          <t>assessed</t>
        </is>
      </c>
    </row>
    <row r="6" ht="15" customHeight="1" s="18">
      <c r="A6" s="36" t="inlineStr">
        <is>
          <t>Numerical code verification</t>
        </is>
      </c>
      <c r="B6" s="36" t="inlineStr">
        <is>
          <t>Verification — Code</t>
        </is>
      </c>
      <c r="C6" s="41" t="n">
        <v>3</v>
      </c>
      <c r="D6" s="41" t="n">
        <v>3</v>
      </c>
      <c r="E6" s="42" t="inlineStr">
        <is>
          <t>Code correctly solves governing equations, demonstrated via benchmark problems or analytical solutions</t>
        </is>
      </c>
      <c r="F6" s="41" t="inlineStr">
        <is>
          <t>Two internal spot-checks are documented: (1) lid-driven cavity Re=1000 shows observed order ~1.95 on three grid levels, consistent with second-order schemes; (2) straight-pipe SST k-omega friction factor within 2% of Blasius at Re=1e5. These benchmarks are relevant to the solver's momentum and turbulence transport implementation. Vendor documentation supports second-order accuracy. Checks are limited in scope but provide adequate evidence for the physics regime of interest.</t>
        </is>
      </c>
      <c r="G6" s="41" t="inlineStr">
        <is>
          <t>assessed</t>
        </is>
      </c>
    </row>
    <row r="7" ht="15" customHeight="1" s="18">
      <c r="A7" s="35" t="inlineStr">
        <is>
          <t>Discretization error</t>
        </is>
      </c>
      <c r="B7" s="36" t="inlineStr">
        <is>
          <t>Verification — Calculation</t>
        </is>
      </c>
      <c r="C7" s="41" t="n">
        <v>3</v>
      </c>
      <c r="D7" s="41" t="n">
        <v>3</v>
      </c>
      <c r="E7" s="42" t="inlineStr">
        <is>
          <t>GCI &lt; 2% for primary QoI; mesh convergence documented for both MRF and transient cases</t>
        </is>
      </c>
      <c r="F7" s="41" t="inlineStr">
        <is>
          <t>Three-level grid refinement study performed for MRF model: Coarse 7.4 M, Medium 12.9 M, Fine 25.6 M. Richardson extrapolation yields order ~1.9; GCI for Medium-grid head at BEP ~0.7%, meeting the internal target. However, transient SM cases lack a completed GCI study — tongue rms pulsation shows a 7% Medium-to-Fine gap with no formal GCI, and two off-design points were run on the Coarse grid due to memory constraints. Discretization error is well-quantified at BEP but not across the full operating map or transient cases.</t>
        </is>
      </c>
      <c r="G7" s="41" t="inlineStr">
        <is>
          <t>assessed</t>
        </is>
      </c>
    </row>
    <row r="8" ht="15" customHeight="1" s="18">
      <c r="A8" s="36" t="inlineStr">
        <is>
          <t>Numerical solver error</t>
        </is>
      </c>
      <c r="B8" s="36" t="inlineStr">
        <is>
          <t>Verification — Calculation</t>
        </is>
      </c>
      <c r="C8" s="41" t="n">
        <v>3</v>
      </c>
      <c r="D8" s="41" t="n">
        <v>2</v>
      </c>
      <c r="E8" s="42" t="inlineStr">
        <is>
          <t>Residuals below 1e-4, head monitor stable &lt;0.1%, torque oscillation &lt;0.3% rms throughout production runs</t>
        </is>
      </c>
      <c r="F8" s="41" t="inlineStr">
        <is>
          <t>Convergence criteria are defined (residuals &lt;1e-4, head change &lt;0.1%, torque oscillation &lt;0.3% rms). However, two deviations are noted: near-shutoff points required relaxation of the residual target to 5e-4 and a switch to first-order upwind momentum for the last 500 iterations. Early documentation stated all points run second-order throughout, conflicting with the final mixed-order setup. This inconsistency reduces confidence in solver error control at off-design conditions.</t>
        </is>
      </c>
      <c r="G8" s="41" t="inlineStr">
        <is>
          <t>assessed</t>
        </is>
      </c>
    </row>
    <row r="9" ht="15" customHeight="1" s="18">
      <c r="A9" s="36" t="inlineStr">
        <is>
          <t>Use error</t>
        </is>
      </c>
      <c r="B9" s="36" t="inlineStr">
        <is>
          <t>Verification — Calculation</t>
        </is>
      </c>
      <c r="C9" s="41" t="n">
        <v>3</v>
      </c>
      <c r="D9" s="41" t="n">
        <v>2</v>
      </c>
      <c r="E9" s="42" t="inlineStr">
        <is>
          <t>Independent peer review completed and signed; boundary conditions verified against test rig; geometry version confirmed consistent</t>
        </is>
      </c>
      <c r="F9" s="41" t="inlineStr">
        <is>
          <t>Case files are version-controlled and mesh generation is reproducible via journal files. However, several use-error indicators are present: (1) peer review not yet completed (moved to next sprint); (2) geometry version mismatch — simulations used RevC but slide package earlier referenced RevD (different wear ring clearance); (3) boundary condition type changed from planned mass-flow inlet to pressure inlet without formal re-approval; (4) post-processing partly manual (Excel/CSV), not fully scripted. These open items collectively indicate meaningful use-error risk.</t>
        </is>
      </c>
      <c r="G9" s="41" t="inlineStr">
        <is>
          <t>assessed</t>
        </is>
      </c>
    </row>
    <row r="10" ht="15" customHeight="1" s="18">
      <c r="A10" s="35" t="inlineStr">
        <is>
          <t>Model form</t>
        </is>
      </c>
      <c r="B10" s="36" t="inlineStr">
        <is>
          <t>Validation — Model</t>
        </is>
      </c>
      <c r="C10" s="41" t="n">
        <v>3</v>
      </c>
      <c r="D10" s="41" t="n">
        <v>2</v>
      </c>
      <c r="E10" s="42" t="inlineStr">
        <is>
          <t>Physics closure (turbulence model, frame treatment, cavitation model) justified and documented; known limitations stated</t>
        </is>
      </c>
      <c r="F10" s="41" t="inlineStr">
        <is>
          <t>SST k-omega with low-Re correction is a reasonable choice for turbomachinery at this Reynolds number and is documented. MRF and sliding-mesh frame treatments are justified. However, the cavitation model (ZGB) was disabled in production runs and NPSHr is inferred by extrapolation — a significant departure from planned physics that is not validated. An alternative k-epsilon model was used for some sensitivity runs on coarser grids, and near-shutoff separation behavior differs substantially between models (5% head difference). Model form uncertainty is partially quantified but cavitation physics are unmodeled.</t>
        </is>
      </c>
      <c r="G10" s="41" t="inlineStr">
        <is>
          <t>assessed</t>
        </is>
      </c>
    </row>
    <row r="11" ht="15" customHeight="1" s="18">
      <c r="A11" s="36" t="inlineStr">
        <is>
          <t>Model inputs</t>
        </is>
      </c>
      <c r="B11" s="36" t="inlineStr">
        <is>
          <t>Validation — Model</t>
        </is>
      </c>
      <c r="C11" s="41" t="n">
        <v>3</v>
      </c>
      <c r="D11" s="41" t="n">
        <v>2</v>
      </c>
      <c r="E11" s="42" t="inlineStr">
        <is>
          <t>Material properties, geometry, boundary conditions, and operating conditions well-characterized with uncertainty; as-built geometry confirmed</t>
        </is>
      </c>
      <c r="F11" s="41" t="inlineStr">
        <is>
          <t>Water properties at 298 K are well-defined. Inlet turbulence intensity (5%) is from rig pitot measurement. Flowrate controlled to ±0.5%. Geometry uncertainty is documented (tip gap ±0.05 mm, wear ring ±0.05 mm) and sensitivity runs performed. However: (1) geometry version RevC vs RevD discrepancy is unresolved; (2) as-built roughness measurements are not yet available (60 µm was effectively tuned to improve BEP match against factory spec of Ra ~20 µm); (3) inlet boundary condition type was changed (mass-flow to pressure inlet) without confirmed propagation of measurement uncertainty from the upstream pitot tree.</t>
        </is>
      </c>
      <c r="G11" s="41" t="inlineStr">
        <is>
          <t>assessed</t>
        </is>
      </c>
    </row>
    <row r="12" ht="15" customHeight="1" s="18">
      <c r="A12" s="35" t="inlineStr">
        <is>
          <t>Test samples</t>
        </is>
      </c>
      <c r="B12" s="36" t="inlineStr">
        <is>
          <t>Validation — Comparator</t>
        </is>
      </c>
      <c r="C12" s="41" t="n">
        <v>3</v>
      </c>
      <c r="D12" s="41" t="n">
        <v>3</v>
      </c>
      <c r="E12" s="42" t="inlineStr">
        <is>
          <t>Sufficient repeats to characterize test variability; production-representative test article</t>
        </is>
      </c>
      <c r="F12" s="41" t="inlineStr">
        <is>
          <t>Three repeat runs were conducted on the factory hydraulic loop at 1746–1752 rpm. The test article is the production pump (250 mm impeller, Pump_250_RevC geometry). Three repeats provide basic statistical characterization of run-to-run variability. No formal sample size justification is documented, but three repeats are standard practice for factory acceptance testing and are consistent with the schedule constraints noted.</t>
        </is>
      </c>
      <c r="G12" s="41" t="inlineStr">
        <is>
          <t>assessed</t>
        </is>
      </c>
    </row>
    <row r="13" ht="15" customHeight="1" s="18">
      <c r="A13" s="36" t="inlineStr">
        <is>
          <t>Test conditions</t>
        </is>
      </c>
      <c r="B13" s="36" t="inlineStr">
        <is>
          <t>Validation — Comparator</t>
        </is>
      </c>
      <c r="C13" s="41" t="n">
        <v>3</v>
      </c>
      <c r="D13" s="41" t="n">
        <v>3</v>
      </c>
      <c r="E13" s="42" t="inlineStr">
        <is>
          <t>Calibrated instruments traceable to standards; measurement uncertainties documented; controlled environment</t>
        </is>
      </c>
      <c r="F13" s="41" t="inlineStr">
        <is>
          <t>Calibrated instruments are documented: magnetic flowmeter ±0.5% of reading, differential head cell ±0.25% FS, torque meter ±0.2% FS. Water temperature logged (24–27 °C), barometric pressure logged. 300 mm suction bell with honeycomb straightener ensures well-conditioned inlet. RPM varied slightly (1746–1752 rpm) across runs, which is a minor uncontrolled variable but within ±0.2% of nominal. Instrument traceability to national standards is not explicitly stated but the calibrated instrument list is adequate for this application.</t>
        </is>
      </c>
      <c r="G13" s="41" t="inlineStr">
        <is>
          <t>assessed</t>
        </is>
      </c>
    </row>
    <row r="14" ht="15" customHeight="1" s="18">
      <c r="A14" s="35" t="inlineStr">
        <is>
          <t>Equivalency of input parameters</t>
        </is>
      </c>
      <c r="B14" s="36" t="inlineStr">
        <is>
          <t>Validation — Assessment</t>
        </is>
      </c>
      <c r="C14" s="41" t="n">
        <v>3</v>
      </c>
      <c r="D14" s="41" t="n">
        <v>2</v>
      </c>
      <c r="E14" s="42" t="inlineStr">
        <is>
          <t>CFD boundary conditions matched to test conditions with uncertainty propagation; RPM, flow rate, temperature aligned</t>
        </is>
      </c>
      <c r="F14" s="41" t="inlineStr">
        <is>
          <t>CFD run at nominal 1750 rpm vs test 1746–1752 rpm — a small but uncompensated offset. Inlet boundary condition type differs from test (pressure inlet used in CFD vs intended mass-flow matching). Flow rate agreement within ±0.5% via outlet pressure ramp. Temperature alignment is reasonable (CFD 298 K vs test 24–27 °C). The UQ surrogate is trained on mixed-numerics CFD points (first/second order, two turbulence models), which degrades the validity of propagated uncertainties. Input equivalency is partially established but notable gaps remain.</t>
        </is>
      </c>
      <c r="G14" s="41" t="inlineStr">
        <is>
          <t>assessed</t>
        </is>
      </c>
    </row>
    <row r="15" ht="15" customHeight="1" s="18">
      <c r="A15" s="36" t="inlineStr">
        <is>
          <t>Output comparison</t>
        </is>
      </c>
      <c r="B15" s="36" t="inlineStr">
        <is>
          <t>Validation — Assessment</t>
        </is>
      </c>
      <c r="C15" s="41" t="n">
        <v>3</v>
      </c>
      <c r="D15" s="41" t="n">
        <v>2</v>
      </c>
      <c r="E15" s="42" t="inlineStr">
        <is>
          <t>Quantitative comparison at multiple operating points; all QoIs compared with uncertainty bands; errors within acceptance criteria</t>
        </is>
      </c>
      <c r="F15" s="41" t="inlineStr">
        <is>
          <t>Quantitative comparison is provided at BEP (head +0.5%, torque +1.2% — both passing), at 0.6×Qdes (head 9–12% error — failing ±5% criterion), at 1.2×Qdes (head within 4% — passing). Tongue rms pulsation at 0.6×Qdes is 35% below probe measurement, failing the 30% tolerance. Swirl angle underpredicted by ~6° at 1.2×Qdes. NPSHr comparison is based on inferred single-phase extrapolation without direct cavitating-flow test data. UQ intervals are reported at BEP (±1.2 m, 95%) but the surrogate quality is compromised by mixed numerics. Overall, the comparison is thorough near BEP but fails acceptance criteria at off-design conditions.</t>
        </is>
      </c>
      <c r="G15" s="41" t="inlineStr">
        <is>
          <t>assessed</t>
        </is>
      </c>
    </row>
    <row r="16" ht="15" customHeight="1" s="18">
      <c r="A16" s="35" t="inlineStr">
        <is>
          <t>Relevance of the quantities of interest</t>
        </is>
      </c>
      <c r="B16" s="36" t="inlineStr">
        <is>
          <t>Applicability</t>
        </is>
      </c>
      <c r="C16" s="41" t="n">
        <v>3</v>
      </c>
      <c r="D16" s="41" t="n">
        <v>3</v>
      </c>
      <c r="E16" s="42" t="inlineStr">
        <is>
          <t>QoIs (head, torque, NPSHr, tongue pulsation) directly address the engineering decisions and are measurable both computationally and experimentally</t>
        </is>
      </c>
      <c r="F16" s="41" t="inlineStr">
        <is>
          <t>The QoIs — head, shaft torque, BEP efficiency, tongue static pressure pulsation rms, and NPSHr — directly correspond to the contract compliance requirement, motor sizing risk, cavitation warranty risk, and structural loading concern identified in the project context. All QoIs are measurable in both CFD and the factory loop. The mapping from QoI to decision (cutwater clearance, wear ring spec, motor sizing, cavitation margin) is clearly stated.</t>
        </is>
      </c>
      <c r="G16" s="41" t="inlineStr">
        <is>
          <t>assessed</t>
        </is>
      </c>
    </row>
    <row r="17" ht="15" customHeight="1" s="18">
      <c r="A17" s="36" t="inlineStr">
        <is>
          <t>Relevance of the validation activities to the COU</t>
        </is>
      </c>
      <c r="B17" s="36" t="inlineStr">
        <is>
          <t>Applicability</t>
        </is>
      </c>
      <c r="C17" s="41" t="n">
        <v>3</v>
      </c>
      <c r="D17" s="41" t="n">
        <v>2</v>
      </c>
      <c r="E17" s="42" t="inlineStr">
        <is>
          <t>Validation conditions (geometry, operating range, flow regime, physics) match the intended COU; gaps between validation envelope and COU envelope documented</t>
        </is>
      </c>
      <c r="F17" s="41" t="inlineStr">
        <is>
          <t>The factory loop uses the same pump geometry (RevC), the same speed (1750 rpm), and water at near-ambient temperature. The validation covers the core operating range 0.6–1.2×Qdes, which spans the COU of 0.3–1.3×Qdes. However, the following gaps exist: (1) validation does not cover 0.3–0.6×Qdes (the lower extreme of the COU); (2) NPSHr validation is absent — cavitation model was disabled and no cavitating-flow test comparison is available; (3) geometry version RevC vs RevD discrepancy means the as-built COU geometry may not be the validated geometry; (4) transient sliding-mesh validation is limited to two points. These gaps are documented in Slide 12 as open items.</t>
        </is>
      </c>
      <c r="G17" s="41" t="inlineStr">
        <is>
          <t>assessed</t>
        </is>
      </c>
    </row>
  </sheetData>
  <mergeCells count="2">
    <mergeCell ref="A2:F2"/>
    <mergeCell ref="A1:F1"/>
  </mergeCells>
  <dataValidations count="2">
    <dataValidation sqref="C5:D17" showDropDown="0" showInputMessage="0" showErrorMessage="0" allowBlank="1" type="list" errorStyle="stop" operator="between">
      <formula1>list_factor_level</formula1>
      <formula2>0</formula2>
    </dataValidation>
    <dataValidation sqref="F5:F17" showDropDown="0" showInputMessage="0" showErrorMessage="0" allowBlank="1" type="list" errorStyle="stop" operator="between">
      <formula1>list_assessed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60" customWidth="1" style="17" min="2" max="2"/>
    <col width="22" customWidth="1" style="17" min="3" max="3"/>
    <col width="25" customWidth="1" style="17" min="4" max="4"/>
    <col width="16" customWidth="1" style="17" min="5" max="5"/>
  </cols>
  <sheetData>
    <row r="1" ht="30" customHeight="1" s="18">
      <c r="A1" s="19" t="inlineStr">
        <is>
          <t>Decision — The credibility judgment</t>
        </is>
      </c>
    </row>
    <row r="2" ht="15" customHeight="1" s="18">
      <c r="A2" s="20" t="inlineStr">
        <is>
          <t>Decision Outcome</t>
        </is>
      </c>
      <c r="B2" s="20" t="inlineStr">
        <is>
          <t>Decision Rationale</t>
        </is>
      </c>
      <c r="C2" s="20" t="inlineStr">
        <is>
          <t>Criteria Set</t>
        </is>
      </c>
      <c r="D2" s="20" t="inlineStr">
        <is>
          <t>Decided By</t>
        </is>
      </c>
      <c r="E2" s="20" t="inlineStr">
        <is>
          <t>Decision Date</t>
        </is>
      </c>
    </row>
    <row r="3" ht="22.35" customHeight="1" s="18">
      <c r="A3" s="39" t="inlineStr">
        <is>
          <t>Accepted</t>
        </is>
      </c>
      <c r="B3" s="39" t="inlineStr">
        <is>
          <t>The CFD model is accepted with conditions for the near-BEP operating regime (0.8–1.1×Qdes) where head error is +0.5% and torque error is +1.2%, both within acceptance criteria, and GCI is 0.7% at BEP. The model supports the contract head compliance decision and cutwater/wear ring specification selection at BEP. Conditions: (1) Low-flow predictions (&lt; 0.8×Qdes) must not be used for decision-making without re-running with sliding-mesh and consistent second-order schemes, as head errors of 9–12% exceed the ±5% criterion; (2) NPSHr of ~3.7 m is accepted as a screening estimate only — the cavitation model must be re-enabled for at least three sigma points before NPSHr can be used as a validated design commitment; (3) the RevC vs RevD geometry discrepancy must be resolved and as-built roughness measurements obtained before tooling freeze; (4) peer review must be completed and signed before the final report is issued; (5) the UQ surrogate should be retrained on consistent second-order, single-turbulence-model runs before uncertainty intervals are reported formally.</t>
        </is>
      </c>
      <c r="C3" s="22" t="inlineStr">
        <is>
          <t>Auto-filled from Assessment Summary</t>
        </is>
      </c>
      <c r="D3" s="22" t="n"/>
      <c r="E3" s="22" t="n"/>
    </row>
    <row r="4" ht="15" customHeight="1" s="18">
      <c r="A4" s="24" t="n"/>
      <c r="B4" s="24" t="n"/>
      <c r="C4" s="25">
        <f>'Assessment Summary'!H4</f>
        <v/>
      </c>
      <c r="D4" s="25" t="n"/>
      <c r="E4" s="33" t="n"/>
    </row>
  </sheetData>
  <mergeCells count="1">
    <mergeCell ref="A1:E1"/>
  </mergeCells>
  <dataValidations count="1">
    <dataValidation sqref="A4" showDropDown="0" showInputMessage="0" showErrorMessage="0" allowBlank="0" error="Select Accepted, Not accepted, or Conditional" type="list" errorStyle="stop" operator="between">
      <formula1>list_decision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2026-03-31T17:48:36Z</dcterms:created>
  <dcterms:modified xmlns:dcterms="http://purl.org/dc/terms/" xmlns:xsi="http://www.w3.org/2001/XMLSchema-instance" xsi:type="dcterms:W3CDTF">2026-08-06T04:58:24Z</dcterms:modified>
  <cp:revision>0</cp:revision>
</cp:coreProperties>
</file>