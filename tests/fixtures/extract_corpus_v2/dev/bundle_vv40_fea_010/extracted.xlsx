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H7" authorId="0" shapeId="0">
      <text>
        <t>[Extract] | Confidence: 50%</t>
      </text>
    </comment>
    <comment ref="I7" authorId="0" shapeId="0">
      <text>
        <t>[Extract] | Confidence: 50%</t>
      </text>
    </comment>
    <comment ref="A8" authorId="0" shapeId="0">
      <text>
        <t>[Extract] | Confidence: 50%</t>
      </text>
    </comment>
    <comment ref="B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H8" authorId="0" shapeId="0">
      <text>
        <t>[Extract] | Confidence: 50%</t>
      </text>
    </comment>
    <comment ref="I8"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FEA of Pedicle Screw–Rod Spinal Fixation Construct under ASTM F1717</t>
        </is>
      </c>
      <c r="B3" s="39" t="inlineStr">
        <is>
          <t>Pre-test design screening and worst-case design selection for a Ti-6Al-4V pedicle screw–rod construct under ASTM F1717 vertebrectomy surrogate loading</t>
        </is>
      </c>
      <c r="C3" s="39" t="inlineStr">
        <is>
          <t>A finite element model implemented in Abaqus/2023.HF3 is used to evaluate static stiffness, peak von Mises stress, and displacement of a thoracolumbar pedicle screw–rod construct in the ASTM F1717 vertebrectomy surrogate configuration. The model supports engineering down-selection of rod design variants, set-screw torque guidance, and test matrix reduction prior to design freeze. It does not replace mandatory regulatory bench testing.</t>
        </is>
      </c>
      <c r="D3" s="39" t="inlineStr">
        <is>
          <t>Complete</t>
        </is>
      </c>
      <c r="E3" s="39" t="inlineStr">
        <is>
          <t>Class II</t>
        </is>
      </c>
      <c r="F3" s="39" t="inlineStr">
        <is>
          <t>MRL 3</t>
        </is>
      </c>
      <c r="G3" s="39" t="inlineStr">
        <is>
          <t>Medium</t>
        </is>
      </c>
      <c r="H3" s="39" t="inlineStr">
        <is>
          <t>ASME-VV40-2018</t>
        </is>
      </c>
      <c r="I3" s="39" t="inlineStr">
        <is>
          <t>Mechanics &amp; Reliability Group, Ortheon Devices, Inc.</t>
        </is>
      </c>
      <c r="J3" s="22" t="inlineStr">
        <is>
          <t>Date of this assessment (YYYY-MM-DD)</t>
        </is>
      </c>
      <c r="K3" s="22" t="inlineStr">
        <is>
          <t>DOI, report number, or URI</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Pre-test design screening requirement</t>
        </is>
      </c>
      <c r="C3" s="22" t="inlineStr">
        <is>
          <t>Stable URI or local ID</t>
        </is>
      </c>
      <c r="D3" s="39" t="inlineStr">
        <is>
          <t>Model must predict static stiffness and peak stress with sufficient accuracy (within combined uncertainty) to support worst-case design selection and set-screw torque guidance, with a minimum 20% margin before physical testing; model must not be used for fretting wear or fatigue life prediction.</t>
        </is>
      </c>
      <c r="E3" s="22" t="inlineStr">
        <is>
          <t>Version number (optional)</t>
        </is>
      </c>
      <c r="F3" s="22" t="inlineStr">
        <is>
          <t>Where this came from (optional)</t>
        </is>
      </c>
    </row>
    <row r="4" ht="15" customHeight="1" s="18">
      <c r="A4" s="41" t="inlineStr">
        <is>
          <t>Model</t>
        </is>
      </c>
      <c r="B4" s="41" t="inlineStr">
        <is>
          <t>Abaqus FEA model of pedicle screw–rod construct</t>
        </is>
      </c>
      <c r="C4" s="24" t="n"/>
      <c r="D4" s="41" t="inlineStr">
        <is>
          <t>Full 3D solid FEA model in Abaqus/Standard 2023.HF3 of a Ti-6Al-4V ELI pedicle screw–rod construct with polyaxial tulips and UHMWPE fixture blocks under ASTM F1717 vertebrectomy surrogate loading; ~4.1 million DOF; elastic–plastic material; surface-to-surface finite-sliding contact.</t>
        </is>
      </c>
      <c r="E4" s="33" t="n"/>
      <c r="F4" s="33" t="n"/>
    </row>
    <row r="5" ht="15" customHeight="1" s="18">
      <c r="A5" s="41" t="inlineStr">
        <is>
          <t>Dataset</t>
        </is>
      </c>
      <c r="B5" s="41" t="inlineStr">
        <is>
          <t>ASTM F1717 bench test dataset</t>
        </is>
      </c>
      <c r="C5" s="24" t="n"/>
      <c r="D5" s="41" t="inlineStr">
        <is>
          <t>Static compression-bending test data from MTS 858 frame on five specimens per variant; measurements include vertical stiffness, displacement at 400 N, load at 2% offset, and DIC surface strains on tulip exterior; fatigue run-out data used qualitatively.</t>
        </is>
      </c>
      <c r="E5" s="33" t="n"/>
      <c r="F5" s="33" t="n"/>
    </row>
    <row r="6" ht="15" customHeight="1" s="18">
      <c r="A6" s="41" t="inlineStr">
        <is>
          <t>Dataset</t>
        </is>
      </c>
      <c r="B6" s="41" t="inlineStr">
        <is>
          <t>Material and input characterization dataset</t>
        </is>
      </c>
      <c r="C6" s="24" t="n"/>
      <c r="D6" s="41" t="inlineStr">
        <is>
          <t>Tensile coupon data (n=10, ASTM E8) for Ti-6Al-4V ELI; UHMWPE compression test data; torque–tension data from 8 assemblies; CMM as-built geometry deviations on 5 parts; ring-on-disc friction measurements; XRD residual stress measurements on representative parts.</t>
        </is>
      </c>
      <c r="E6" s="33" t="n"/>
      <c r="F6" s="33" t="n"/>
    </row>
    <row r="7" ht="15" customHeight="1" s="18">
      <c r="A7" s="24" t="n"/>
      <c r="B7" s="24" t="n"/>
      <c r="C7" s="24" t="n"/>
      <c r="D7" s="33" t="n"/>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Vertical stiffness comparison (model vs. ASTM F1717 bench test)</t>
        </is>
      </c>
      <c r="B3" s="39" t="inlineStr">
        <is>
          <t>ValidationResult</t>
        </is>
      </c>
      <c r="C3" s="22" t="inlineStr">
        <is>
          <t>What was done, what was found</t>
        </is>
      </c>
      <c r="D3" s="39" t="inlineStr">
        <is>
          <t>Model-predicted vertical stiffness compared to test mean across five specimens under ASTM F1717 static compression-bending</t>
        </is>
      </c>
      <c r="E3" s="39" t="inlineStr">
        <is>
          <t>Test mean 29.6 N/mm (SD 0.7 N/mm) from MTS 858 frame with calibrated load cell and dual LVDTs</t>
        </is>
      </c>
      <c r="F3" s="39" t="inlineStr">
        <is>
          <t>Yes</t>
        </is>
      </c>
      <c r="G3" s="39" t="inlineStr">
        <is>
          <t>Latin Hypercube sampling (n=500) on response surface; 95% predicted interval 28.4–31.7 N/mm; combined test+model uncertainty 3.0%</t>
        </is>
      </c>
      <c r="H3" s="39" t="inlineStr">
        <is>
          <t>Model nominal 30.0 N/mm; difference +1.4%; within combined uncertainty of 3.0%</t>
        </is>
      </c>
      <c r="I3" s="42" t="inlineStr">
        <is>
          <t>Pass</t>
        </is>
      </c>
    </row>
    <row r="4" ht="15" customHeight="1" s="18">
      <c r="A4" s="41" t="inlineStr">
        <is>
          <t>Displacement at 400 N comparison (model vs. bench test)</t>
        </is>
      </c>
      <c r="B4" s="41" t="inlineStr">
        <is>
          <t>ValidationResult</t>
        </is>
      </c>
      <c r="C4" s="33" t="n"/>
      <c r="D4" s="41" t="inlineStr">
        <is>
          <t>Model-predicted displacement at 400 N load compared to bench test; correction applied for measured UHMWPE batch modulus (0.92 GPa vs. assumed 0.95 GPa)</t>
        </is>
      </c>
      <c r="E4" s="41" t="inlineStr">
        <is>
          <t>Test measurement 13.5 mm (LVDT ±0.02 mm)</t>
        </is>
      </c>
      <c r="F4" s="41" t="inlineStr">
        <is>
          <t>Yes</t>
        </is>
      </c>
      <c r="G4" s="41" t="inlineStr">
        <is>
          <t>Input uncertainty propagation; UHMWPE modulus batch correction applied</t>
        </is>
      </c>
      <c r="H4" s="41" t="inlineStr">
        <is>
          <t>Corrected model 12.8 mm vs. test 13.5 mm; residual difference 5.2%; consistent with predicted uncertainty range</t>
        </is>
      </c>
      <c r="I4" s="42" t="inlineStr">
        <is>
          <t>Pass</t>
        </is>
      </c>
    </row>
    <row r="5" ht="15" customHeight="1" s="18">
      <c r="A5" s="41" t="inlineStr">
        <is>
          <t>Peak strain field comparison (DIC vs. model surface strains at tulip crown)</t>
        </is>
      </c>
      <c r="B5" s="41" t="inlineStr">
        <is>
          <t>ValidationResult</t>
        </is>
      </c>
      <c r="C5" s="33" t="n"/>
      <c r="D5" s="41" t="inlineStr">
        <is>
          <t>Qualitative hotspot location and quantitative peak surface strains at tulip crown compared between DIC measurements and model predictions</t>
        </is>
      </c>
      <c r="E5" s="41" t="inlineStr">
        <is>
          <t>DIC surface strain measurements; DIC uncertainty ~75 με; speckle-dependent uncertainty 4–6%</t>
        </is>
      </c>
      <c r="F5" s="41" t="inlineStr">
        <is>
          <t>Yes</t>
        </is>
      </c>
      <c r="G5" s="41" t="inlineStr">
        <is>
          <t>DIC measurement uncertainty bounds (4–6% depending on speckle quality)</t>
        </is>
      </c>
      <c r="H5" s="41" t="inlineStr">
        <is>
          <t>Peak strain difference 8.4% on average; DIC uncertainty bounds encompass 4–6%; qualitative hotspot location matches</t>
        </is>
      </c>
      <c r="I5" s="42" t="inlineStr">
        <is>
          <t>Inconclusive</t>
        </is>
      </c>
    </row>
    <row r="6" ht="15" customHeight="1" s="18">
      <c r="A6" s="41" t="inlineStr">
        <is>
          <t>Load at 2% offset comparison (model vs. bench test)</t>
        </is>
      </c>
      <c r="B6" s="41" t="inlineStr">
        <is>
          <t>ValidationResult</t>
        </is>
      </c>
      <c r="C6" s="33" t="n"/>
      <c r="D6" s="41" t="inlineStr">
        <is>
          <t>Model-predicted load at 2% construct bending offset compared to test mean</t>
        </is>
      </c>
      <c r="E6" s="41" t="inlineStr">
        <is>
          <t>Test mean 980 N (SD 22 N)</t>
        </is>
      </c>
      <c r="F6" s="41" t="inlineStr">
        <is>
          <t>Yes</t>
        </is>
      </c>
      <c r="G6" s="41" t="inlineStr">
        <is>
          <t>Combined test and model uncertainty estimated at 5.1%</t>
        </is>
      </c>
      <c r="H6" s="41" t="inlineStr">
        <is>
          <t>Model predicted 1,012 N vs. test mean 980 N; difference +3.3%; within combined uncertainty of 5.1%</t>
        </is>
      </c>
      <c r="I6" s="42" t="inlineStr">
        <is>
          <t>Pass</t>
        </is>
      </c>
    </row>
    <row r="7" ht="15" customHeight="1" s="18">
      <c r="A7" s="41" t="inlineStr">
        <is>
          <t>Mesh convergence study (GCI / Richardson extrapolation)</t>
        </is>
      </c>
      <c r="B7" s="41" t="inlineStr">
        <is>
          <t>ValidationResult</t>
        </is>
      </c>
      <c r="C7" s="33" t="n"/>
      <c r="D7" s="41" t="inlineStr">
        <is>
          <t>Three nested meshes (M1/M2/M3) with Richardson extrapolation on peak von Mises stress at set-screw root and on construct vertical stiffness</t>
        </is>
      </c>
      <c r="E7" s="41" t="inlineStr">
        <is>
          <t>Asymptotic Richardson-extrapolated value; observed convergence order p ≈ 1.85</t>
        </is>
      </c>
      <c r="F7" s="41" t="inlineStr">
        <is>
          <t>Yes</t>
        </is>
      </c>
      <c r="G7" s="41" t="inlineStr">
        <is>
          <t>Richardson extrapolation; Grid Convergence Index estimated</t>
        </is>
      </c>
      <c r="H7" s="41" t="inlineStr">
        <is>
          <t>Grid error at production mesh (0.20 mm local): 3.2% for peak von Mises; stiffness change M2 to M3 &lt; 0.7%</t>
        </is>
      </c>
      <c r="I7" s="42" t="inlineStr">
        <is>
          <t>Pass</t>
        </is>
      </c>
    </row>
    <row r="8" ht="15" customHeight="1" s="18">
      <c r="A8" s="41" t="inlineStr">
        <is>
          <t>Code verification benchmarks (NAFEMS and analytical solutions)</t>
        </is>
      </c>
      <c r="B8" s="41" t="inlineStr">
        <is>
          <t>ValidationResult</t>
        </is>
      </c>
      <c r="C8" s="33" t="n"/>
      <c r="D8" s="41" t="inlineStr">
        <is>
          <t>Three benchmark problems run to verify element and solver behavior: thick cylinder under pressure (Lamé), Hertzian contact, and NAFEMS LE10 plate bending</t>
        </is>
      </c>
      <c r="E8" s="41" t="inlineStr">
        <is>
          <t>Analytical solutions (Lamé, Hertz) and NAFEMS benchmark reference values</t>
        </is>
      </c>
      <c r="F8" s="41" t="inlineStr">
        <is>
          <t>No</t>
        </is>
      </c>
      <c r="G8" s="33" t="n"/>
      <c r="H8" s="41" t="inlineStr">
        <is>
          <t>Hoop stress error 0.8%; peak contact pressure within 4.5%; NAFEMS LE10 deflection difference 1.2%; patch test constant stress error &lt; 0.3%</t>
        </is>
      </c>
      <c r="I8" s="42" t="inlineStr">
        <is>
          <t>Pass</t>
        </is>
      </c>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3</v>
      </c>
      <c r="D5" s="41" t="n">
        <v>4</v>
      </c>
      <c r="E5" s="42" t="inlineStr">
        <is>
          <t>Commercial solver with documented QA, version-controlled environment, and regression/CI testing</t>
        </is>
      </c>
      <c r="F5" s="41" t="inlineStr">
        <is>
          <t>Abaqus/Standard 2023.HF3 is a widely certified commercial solver. The scripting environment (Python 3.10, numpy 1.26) is reproducible via a conda lockfile. Model package versioned in GitLab (tag v1.7.3, commit e1a8ab5). Continuous integration executes unit checks (flake8, pytest, 82% coverage) and a smoke simulation on every commit. Deterministic reproducibility confirmed: max numerical jitter &lt; 0.1% in peak stress. An independent analyst reproduced the primary validation case on different hardware with results within 0.7% (stress) and 0.4% (stiffness).</t>
        </is>
      </c>
      <c r="G5" s="41" t="inlineStr">
        <is>
          <t>assessed</t>
        </is>
      </c>
    </row>
    <row r="6" ht="15" customHeight="1" s="18">
      <c r="A6" s="36" t="inlineStr">
        <is>
          <t>Numerical code verification</t>
        </is>
      </c>
      <c r="B6" s="36" t="inlineStr">
        <is>
          <t>Verification — Code</t>
        </is>
      </c>
      <c r="C6" s="41" t="n">
        <v>3</v>
      </c>
      <c r="D6" s="41" t="n">
        <v>4</v>
      </c>
      <c r="E6" s="42" t="inlineStr">
        <is>
          <t>Comparison to analytical or established benchmark solutions demonstrating correct implementation of governing equations</t>
        </is>
      </c>
      <c r="F6" s="41" t="inlineStr">
        <is>
          <t>Three benchmark problems executed: (1) thick cylinder under pressure — hoop stress within 0.8% of Lamé analytical solution at 0.25 mm mesh; (2) Hertzian contact — peak pressure within 4.5% of theory after mesh densification; (3) NAFEMS LE10 plate bending — deflection within 1.2% of reference. Element patch test reproduces constant stress state to &lt; 0.3%. Contact penalty scaling validated against known two-block compliance within 3.8%.</t>
        </is>
      </c>
      <c r="G6" s="41" t="inlineStr">
        <is>
          <t>assessed</t>
        </is>
      </c>
    </row>
    <row r="7" ht="15" customHeight="1" s="18">
      <c r="A7" s="35" t="inlineStr">
        <is>
          <t>Discretization error</t>
        </is>
      </c>
      <c r="B7" s="36" t="inlineStr">
        <is>
          <t>Verification — Calculation</t>
        </is>
      </c>
      <c r="C7" s="41" t="n">
        <v>3</v>
      </c>
      <c r="D7" s="41" t="n">
        <v>4</v>
      </c>
      <c r="E7" s="42" t="inlineStr">
        <is>
          <t>Mesh convergence demonstrated with quantified grid uncertainty for critical response quantities</t>
        </is>
      </c>
      <c r="F7" s="41" t="inlineStr">
        <is>
          <t>Three nested meshes (M1: ~1.9M DOF, M2: ~3.1M DOF, M3: ~6.0M DOF) created by halving element sizes at hot spots. Richardson extrapolation with observed order p ≈ 1.85 applied to peak von Mises at set-screw root; GCI-equivalent grid error at production mesh is 3.2%. Construct stiffness changes &lt; 0.7% from M2 to M3. Temporal increment halving causes &lt; 0.2% change in peak stress, confirming negligible time-step error. Contact penalty sensitivity study (×0.5, ×2) shows ±~1.5% peak stress variation.</t>
        </is>
      </c>
      <c r="G7" s="41" t="inlineStr">
        <is>
          <t>assessed</t>
        </is>
      </c>
    </row>
    <row r="8" ht="15" customHeight="1" s="18">
      <c r="A8" s="36" t="inlineStr">
        <is>
          <t>Numerical solver error</t>
        </is>
      </c>
      <c r="B8" s="36" t="inlineStr">
        <is>
          <t>Verification — Calculation</t>
        </is>
      </c>
      <c r="C8" s="41" t="n">
        <v>3</v>
      </c>
      <c r="D8" s="41" t="n">
        <v>4</v>
      </c>
      <c r="E8" s="42" t="inlineStr">
        <is>
          <t>Iterative solver convergence demonstrated with documented residual targets and convergence monitoring</t>
        </is>
      </c>
      <c r="F8" s="41" t="inlineStr">
        <is>
          <t>Full Newton solver with tight tolerances: residual norm &lt; 1e-6, displacement increment &lt; 1e-5 mm. Automatic incrementation with max increment 0.1 mm; increment halving study shows &lt; 0.2% change in peak stress. Contact stabilization tuned via penalty scaling study; penetrations limited to &lt; 0.5 μm. Nonlinear geometry enabled; automatic stabilization off. Kinetic/internal energy ratio &lt; 0.5% confirms quasi-static assumption.</t>
        </is>
      </c>
      <c r="G8" s="41" t="inlineStr">
        <is>
          <t>assessed</t>
        </is>
      </c>
    </row>
    <row r="9" ht="15" customHeight="1" s="18">
      <c r="A9" s="36" t="inlineStr">
        <is>
          <t>Use error</t>
        </is>
      </c>
      <c r="B9" s="36" t="inlineStr">
        <is>
          <t>Verification — Calculation</t>
        </is>
      </c>
      <c r="C9" s="41" t="n">
        <v>3</v>
      </c>
      <c r="D9" s="41" t="n">
        <v>4</v>
      </c>
      <c r="E9" s="42" t="inlineStr">
        <is>
          <t>Independent peer review of model setup, boundary conditions, and post-processing; documented review process</t>
        </is>
      </c>
      <c r="F9" s="41" t="inlineStr">
        <is>
          <t>Peer review checklist completed by a modeling specialist not involved in geometry preparation; comments and dispositions captured in a review log. Each validation comparison linked to a unique YAML run configuration with hashes of input meshes and material cards, cross-referenced to test IDs. Independent analyst reproduced the primary validation case on different hardware (Windows 11, Abaqus/2023) confirming results within 0.7%/0.4%. All raw data archived in Agile PLM with immutable audit trails. Boundary conditions, fixture dimensions, and gage length verified against ASTM F1717 and measured values.</t>
        </is>
      </c>
      <c r="G9" s="41" t="inlineStr">
        <is>
          <t>assessed</t>
        </is>
      </c>
    </row>
    <row r="10" ht="15" customHeight="1" s="18">
      <c r="A10" s="35" t="inlineStr">
        <is>
          <t>Model form</t>
        </is>
      </c>
      <c r="B10" s="36" t="inlineStr">
        <is>
          <t>Validation — Model</t>
        </is>
      </c>
      <c r="C10" s="41" t="n">
        <v>3</v>
      </c>
      <c r="D10" s="41" t="n">
        <v>3</v>
      </c>
      <c r="E10" s="42" t="inlineStr">
        <is>
          <t>Governing equations and constitutive model choices justified; known limitations documented</t>
        </is>
      </c>
      <c r="F10" s="41" t="inlineStr">
        <is>
          <t>Elastic–plastic isotropic hardening (Voce law, R²=0.998) for Ti-6Al-4V ELI is justified by coupon testing. Linear elastic UHMWPE justified by rate-sweep data (Appendix B) confirming rate-insensitive behavior at test conditions. Quasi-static assumption validated by KE/IE &lt; 0.5%. Residual stresses neglected based on XRD measurements showing &lt; 30 MPa mean, small relative to operating stresses. Constant Coulomb friction acknowledged as simplification; sensitivity checked. Micro-roughness, fretting/wear, and cyclic hysteresis are explicitly excluded from scope and documented as limitations. Symmetry not assumed due to asymmetric load path — full construct modeled.</t>
        </is>
      </c>
      <c r="G10" s="41" t="inlineStr">
        <is>
          <t>assessed</t>
        </is>
      </c>
    </row>
    <row r="11" ht="15" customHeight="1" s="18">
      <c r="A11" s="36" t="inlineStr">
        <is>
          <t>Model inputs</t>
        </is>
      </c>
      <c r="B11" s="36" t="inlineStr">
        <is>
          <t>Validation — Model</t>
        </is>
      </c>
      <c r="C11" s="41" t="n">
        <v>3</v>
      </c>
      <c r="D11" s="41" t="n">
        <v>4</v>
      </c>
      <c r="E11" s="42" t="inlineStr">
        <is>
          <t>Input data measured or characterized with uncertainty; influential inputs identified through sensitivity analysis</t>
        </is>
      </c>
      <c r="F11" s="41" t="inlineStr">
        <is>
          <t>Geometry from SolidWorks 2024 CAD with CMM as-built verification on 5 parts (max deviation ±0.03 mm). Material properties from 10 tensile coupons (ASTM E8) from the same heat lot as test constructs; plasticity fit R²=0.998. Preload from torque–tension testing on 8 assemblies with calibrated torque wrench and ultrasonic bolt elongation (R²=0.93); scatter modeled as normal SD 0.8 kN. Friction from literature plus two ring-on-disc measurements; assigned uniform uncertainty ranges. UHMWPE modulus from supplier certification and in-house compression tests; batch-specific values used for comparison corrections. Sobol global sensitivity analysis (2,000 evaluations) identified dominant inputs: preload (index 0.43), Ti–Ti friction (0.22), rod diameter (0.18) for peak stress; UHMWPE modulus (0.36) and working length (0.31) for stiffness.</t>
        </is>
      </c>
      <c r="G11" s="41" t="inlineStr">
        <is>
          <t>assessed</t>
        </is>
      </c>
    </row>
    <row r="12" ht="15" customHeight="1" s="18">
      <c r="A12" s="35" t="inlineStr">
        <is>
          <t>Test samples</t>
        </is>
      </c>
      <c r="B12" s="36" t="inlineStr">
        <is>
          <t>Validation — Comparator</t>
        </is>
      </c>
      <c r="C12" s="41" t="n">
        <v>3</v>
      </c>
      <c r="D12" s="41" t="n">
        <v>3</v>
      </c>
      <c r="E12" s="42" t="inlineStr">
        <is>
          <t>Sufficient specimens tested with characterization of sample variability; production-representative samples</t>
        </is>
      </c>
      <c r="F12" s="41" t="inlineStr">
        <is>
          <t>Five specimens per variant tested under ASTM F1717 static compression-bending; test mean and SD reported (stiffness SD 0.7 N/mm; load at 2% offset SD 22 N). Rod and screw specimens from production lots; UHMWPE blocks per ASTM F1717. Constructs assembled with calibrated torque wrench; working length and rod seating verified and recorded per specimen. Sample size of n=5 is modest but consistent with ASTM F1717 practice; batch-specific UHMWPE modulus measured to correct for within-batch variation.</t>
        </is>
      </c>
      <c r="G12" s="41" t="inlineStr">
        <is>
          <t>assessed</t>
        </is>
      </c>
    </row>
    <row r="13" ht="15" customHeight="1" s="18">
      <c r="A13" s="36" t="inlineStr">
        <is>
          <t>Test conditions</t>
        </is>
      </c>
      <c r="B13" s="36" t="inlineStr">
        <is>
          <t>Validation — Comparator</t>
        </is>
      </c>
      <c r="C13" s="41" t="n">
        <v>3</v>
      </c>
      <c r="D13" s="41" t="n">
        <v>4</v>
      </c>
      <c r="E13" s="42" t="inlineStr">
        <is>
          <t>Calibrated instrumentation, controlled test conditions, documented measurement uncertainty</t>
        </is>
      </c>
      <c r="F13" s="41" t="inlineStr">
        <is>
          <t>Tests conducted on MTS 858 frame per ASTM F1717 at 6 mm/min displacement control. Load cell ±0.25% FS; LVDT ±0.02 mm; DIC strain uncertainty ~75 με (speckle-dependent 4–6%). Set-screw torque applied with calibrated wrench to 6.0 N·m; preload verified with ultrasonic bolt elongation. Fixture dimensions and gage length measured (76 ± 0.2 mm; hole positions ±0.1 mm). Construct working length and rod seating depth recorded per specimen and fed into corresponding simulation inputs. Fatigue tests conducted at R=0.1 up to 5 million cycles for qualitative trend confirmation.</t>
        </is>
      </c>
      <c r="G13" s="41" t="inlineStr">
        <is>
          <t>assessed</t>
        </is>
      </c>
    </row>
    <row r="14" ht="15" customHeight="1" s="18">
      <c r="A14" s="35" t="inlineStr">
        <is>
          <t>Equivalency of input parameters</t>
        </is>
      </c>
      <c r="B14" s="36" t="inlineStr">
        <is>
          <t>Validation — Assessment</t>
        </is>
      </c>
      <c r="C14" s="41" t="n">
        <v>3</v>
      </c>
      <c r="D14" s="41" t="n">
        <v>4</v>
      </c>
      <c r="E14" s="42" t="inlineStr">
        <is>
          <t>Demonstrated alignment between model inputs and experimental test conditions; measurement uncertainty propagated into comparison</t>
        </is>
      </c>
      <c r="F14" s="41" t="inlineStr">
        <is>
          <t>Fixture and gage length matched between model and test (76 ± 0.2 mm); hole positions within ±0.1 mm. Set-screw preload in model calibrated via ultrasonic elongation measurement from the same torque level (6.0 N·m) used in tests. Working length and rod seating depth recorded per specimen and used as model inputs for specific comparison runs. UHMWPE batch modulus (0.92 GPa measured vs. 0.95 GPa nominal) applied as correction to displacement prediction. Preload scatter modeled as normal distribution matching measured SD. Sensitivity analysis confirmed which input deviations dominate residual comparison discrepancies.</t>
        </is>
      </c>
      <c r="G14" s="41" t="inlineStr">
        <is>
          <t>assessed</t>
        </is>
      </c>
    </row>
    <row r="15" ht="15" customHeight="1" s="18">
      <c r="A15" s="36" t="inlineStr">
        <is>
          <t>Output comparison</t>
        </is>
      </c>
      <c r="B15" s="36" t="inlineStr">
        <is>
          <t>Validation — Assessment</t>
        </is>
      </c>
      <c r="C15" s="41" t="n">
        <v>3</v>
      </c>
      <c r="D15" s="41" t="n">
        <v>4</v>
      </c>
      <c r="E15" s="42" t="inlineStr">
        <is>
          <t>Quantitative metrics comparing model predictions to experimental data across multiple quantities; uncertainty bands reported</t>
        </is>
      </c>
      <c r="F15" s="41" t="inlineStr">
        <is>
          <t>Four quantitative comparison metrics reported: (1) vertical stiffness — model 30.0 vs. test 29.6 N/mm, +1.4%, within combined uncertainty 3.0%; (2) displacement at 400 N — corrected model 12.8 vs. test 13.5 mm, 5.2% residual; (3) peak strains at tulip crown — 8.4% average difference, partially explained by DIC uncertainty (4–6%); (4) load at 2% offset — model 1,012 vs. test 980 N, +3.3%, within combined uncertainty 5.1%. LHS uncertainty propagation yields 95% interval 28.4–31.7 N/mm encompassing test mean. Qualitative DIC hotspot location agreement confirmed. Model-to-test residual bias shown to be small relative to propagated uncertainty spread.</t>
        </is>
      </c>
      <c r="G15" s="41" t="inlineStr">
        <is>
          <t>assessed</t>
        </is>
      </c>
    </row>
    <row r="16" ht="15" customHeight="1" s="18">
      <c r="A16" s="35" t="inlineStr">
        <is>
          <t>Relevance of the quantities of interest</t>
        </is>
      </c>
      <c r="B16" s="36" t="inlineStr">
        <is>
          <t>Applicability</t>
        </is>
      </c>
      <c r="C16" s="41" t="n">
        <v>3</v>
      </c>
      <c r="D16" s="41" t="n">
        <v>4</v>
      </c>
      <c r="E16" s="42" t="inlineStr">
        <is>
          <t>QoIs directly address the engineering decision; measurable both computationally and experimentally</t>
        </is>
      </c>
      <c r="F16" s="41" t="inlineStr">
        <is>
          <t>Primary QoIs — vertical stiffness, peak von Mises stress, and displacement at 400 N — directly support the stated decisions: worst-case design down-selection (stress margin &gt; 20%) and set-screw torque guidance (microslip check). All QoIs are measurable both in FEA and in the ASTM F1717 bench test. Sensitivity analysis confirms which inputs govern each QoI, strengthening the relevance argument. The fraction of runs exceeding 0.2% offset at 400 N (0%) directly addresses the elastic regime requirement. Limitations on inapplicable QoIs (fretting wear, fatigue life) are explicitly documented.</t>
        </is>
      </c>
      <c r="G16" s="41" t="inlineStr">
        <is>
          <t>assessed</t>
        </is>
      </c>
    </row>
    <row r="17" ht="15" customHeight="1" s="18">
      <c r="A17" s="36" t="inlineStr">
        <is>
          <t>Relevance of the validation activities to the COU</t>
        </is>
      </c>
      <c r="B17" s="36" t="inlineStr">
        <is>
          <t>Applicability</t>
        </is>
      </c>
      <c r="C17" s="41" t="n">
        <v>3</v>
      </c>
      <c r="D17" s="41" t="n">
        <v>3</v>
      </c>
      <c r="E17" s="42" t="inlineStr">
        <is>
          <t>Validation conditions (geometry, loading, material, operating regime) match the intended use; gaps identified and assessed</t>
        </is>
      </c>
      <c r="F17" s="41" t="inlineStr">
        <is>
          <t>Validation tests use the same ASTM F1717 vertebrectomy surrogate configuration, same rod diameter (5.5 mm worst case), same gage length (76 mm), same loading mode (static compression-bending to 6 mm), and same material lot as the COU. Preload and friction conditions match. Coverage includes the two relevant rod diameters and the design preload window. Identified gaps: (1) only vertebrectomy configuration covered — other standard configurations (e.g., F1798) not validated; (2) cyclic/fatigue loading not within predictive scope; (3) environmental conditions (temperature, moisture effects on UHMWPE) assumed nominal; (4) micro-scale fretting at set-screw–rod interface not modeled. All gaps are documented and judged not decision-critical for the stated pre-test screening COU.</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FEA model demonstrates adequate credibility for its stated COU of pre-test design screening and worst-case design selection under ASTM F1717 vertebrectomy surrogate loading. Verification evidence (benchmarks, mesh convergence with 3.2% GCI, tight solver tolerances) establishes numerical soundness. Validation against five-specimen static bench tests shows agreement within combined uncertainty across four quantitative metrics (stiffness +1.4%, displacement 5.2% post-correction, load at 2% offset +3.3%). Inputs are largely measured from production lots with full uncertainty characterization; Sobol sensitivity analysis identifies and controls dominant uncertainty sources. LHS uncertainty propagation yields a 95% predicted stiffness interval encompassing the test-derived mean. Process controls (version control, CI, peer review, independent reproduction, PLM archiving) reduce use-error risk. Residual gaps (microslip, fretting, fatigue life, environmental effects, non-vertebrectomy configurations) are explicitly documented as out of scope and are not decision-critical for pre-test screening. Acceptance is conditional on: (1) maintaining documented software version and solver settings or re-running verification checks upon upgrade; (2) using batch-specific measured inputs (UHMWPE modulus, set-screw preload) where possible; (3) restricting interpretations to static stiffness and stress screening — no direct inference on fretting wear or fatigue life without dedicated additional model development and validation.</t>
        </is>
      </c>
      <c r="C3" s="22" t="inlineStr">
        <is>
          <t>Auto-filled from Assessment Summary</t>
        </is>
      </c>
      <c r="D3" s="39" t="inlineStr">
        <is>
          <t>Mechanics &amp; Reliability Group, Ortheon Devices, Inc.</t>
        </is>
      </c>
      <c r="E3" s="39" t="inlineStr">
        <is>
          <t>2026-08-06</t>
        </is>
      </c>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2026-08-06T05:45:47Z</dcterms:modified>
  <cp:revision>0</cp:revision>
</cp:coreProperties>
</file>