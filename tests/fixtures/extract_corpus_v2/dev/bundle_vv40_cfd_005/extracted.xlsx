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ssessment Summary" sheetId="1" state="visible" r:id="rId1"/>
    <sheet xmlns:r="http://schemas.openxmlformats.org/officeDocument/2006/relationships" name="Instructions" sheetId="2" state="visible" r:id="rId2"/>
    <sheet xmlns:r="http://schemas.openxmlformats.org/officeDocument/2006/relationships" name="_Lists" sheetId="3" state="hidden" r:id="rId3"/>
    <sheet xmlns:r="http://schemas.openxmlformats.org/officeDocument/2006/relationships" name="Model &amp; Data" sheetId="4" state="visible" r:id="rId4"/>
    <sheet xmlns:r="http://schemas.openxmlformats.org/officeDocument/2006/relationships" name="Validation Results" sheetId="5" state="visible" r:id="rId5"/>
    <sheet xmlns:r="http://schemas.openxmlformats.org/officeDocument/2006/relationships" name="Credibility Factors" sheetId="6" state="visible" r:id="rId6"/>
    <sheet xmlns:r="http://schemas.openxmlformats.org/officeDocument/2006/relationships" name="Decision" sheetId="7" state="visible" r:id="rId7"/>
  </sheets>
  <definedNames>
    <definedName name="list_assessed" hidden="0" function="0" vbProcedure="0">_Lists!$J$2:$J$4</definedName>
    <definedName name="list_assurance" hidden="0" function="0" vbProcedure="0">_Lists!$D$2:$D$4</definedName>
    <definedName name="list_decision" hidden="0" function="0" vbProcedure="0">_Lists!$K$2:$K$4</definedName>
    <definedName name="list_device_class" hidden="0" function="0" vbProcedure="0">_Lists!$B$2:$B$10</definedName>
    <definedName name="list_entity_type" hidden="0" function="0" vbProcedure="0">_Lists!$F$2:$F$4</definedName>
    <definedName name="list_factor_level" hidden="0" function="0" vbProcedure="0">_Lists!$I$2:$I$5</definedName>
    <definedName name="list_has_uq" hidden="0" function="0" vbProcedure="0">_Lists!$G$2:$G$3</definedName>
    <definedName name="list_mrl" hidden="0" function="0" vbProcedure="0">_Lists!$C$2:$C$6</definedName>
    <definedName name="list_pass_fail" hidden="0" function="0" vbProcedure="0">_Lists!$H$2:$H$5</definedName>
    <definedName name="list_profile" hidden="0" function="0" vbProcedure="0">_Lists!$A$2:$A$3</definedName>
    <definedName name="list_standards" hidden="0" function="0" vbProcedure="0">_Lists!$E$2:$E$5</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1B4F72"/>
      <sz val="14"/>
    </font>
    <font>
      <name val="Arial"/>
      <charset val="1"/>
      <family val="0"/>
      <b val="1"/>
      <color rgb="FFFFFFFF"/>
      <sz val="10"/>
    </font>
    <font>
      <name val="Arial"/>
      <charset val="1"/>
      <family val="0"/>
      <i val="1"/>
      <color rgb="FF666666"/>
      <sz val="9"/>
    </font>
    <font>
      <name val="Arial"/>
      <charset val="1"/>
      <family val="0"/>
      <sz val="10"/>
    </font>
    <font>
      <name val="Arial"/>
      <charset val="1"/>
      <family val="0"/>
      <b val="1"/>
      <sz val="9"/>
    </font>
    <font>
      <name val="Arial"/>
      <charset val="1"/>
      <family val="0"/>
      <sz val="9"/>
    </font>
    <font>
      <name val="Arial"/>
      <charset val="1"/>
      <family val="0"/>
      <b val="1"/>
      <color rgb="FF1B4F72"/>
      <sz val="10"/>
    </font>
    <font>
      <name val="Cambria"/>
      <charset val="1"/>
      <family val="0"/>
      <b val="1"/>
      <sz val="11"/>
    </font>
    <font>
      <name val="Arial"/>
      <charset val="1"/>
      <family val="0"/>
      <i val="1"/>
      <color rgb="FF555555"/>
      <sz val="10"/>
    </font>
    <font>
      <name val="Arial"/>
      <charset val="1"/>
      <family val="0"/>
      <b val="1"/>
      <sz val="10"/>
    </font>
    <font>
      <name val="Arial"/>
      <b val="1"/>
      <color rgb="00FFFFFF"/>
      <sz val="10"/>
    </font>
    <font>
      <name val="Arial"/>
      <color rgb="00666666"/>
      <sz val="9"/>
    </font>
  </fonts>
  <fills count="10">
    <fill>
      <patternFill/>
    </fill>
    <fill>
      <patternFill patternType="gray125"/>
    </fill>
    <fill>
      <patternFill patternType="solid">
        <fgColor rgb="FF1B4F72"/>
        <bgColor rgb="FF333399"/>
      </patternFill>
    </fill>
    <fill>
      <patternFill patternType="solid">
        <fgColor rgb="FFF2F3F4"/>
        <bgColor rgb="FFFFFFFF"/>
      </patternFill>
    </fill>
    <fill>
      <patternFill patternType="solid">
        <fgColor rgb="FFD6EAF8"/>
        <bgColor rgb="FFD5F5E3"/>
      </patternFill>
    </fill>
    <fill>
      <patternFill patternType="solid">
        <fgColor rgb="FFD5F5E3"/>
        <bgColor rgb="FFD6EAF8"/>
      </patternFill>
    </fill>
    <fill>
      <patternFill patternType="solid">
        <fgColor rgb="FFFFFFFF"/>
        <bgColor rgb="FFF2F3F4"/>
      </patternFill>
    </fill>
    <fill>
      <patternFill patternType="solid">
        <fgColor rgb="001B4F72"/>
      </patternFill>
    </fill>
    <fill>
      <patternFill patternType="solid">
        <fgColor rgb="00F2F3F4"/>
      </patternFill>
    </fill>
    <fill>
      <patternFill patternType="solid">
        <fgColor rgb="00FFEB9C"/>
        <bgColor rgb="00FFEB9C"/>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00CCCCCC"/>
      </left>
      <right style="thin">
        <color rgb="00CCCCCC"/>
      </right>
      <top style="thin">
        <color rgb="00CCCCCC"/>
      </top>
      <bottom style="thin">
        <color rgb="00CCCCCC"/>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6" fillId="3" borderId="1"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0" borderId="0" applyAlignment="1" pivotButton="0" quotePrefix="0" xfId="0">
      <alignment horizontal="general" vertical="bottom"/>
    </xf>
    <xf numFmtId="0" fontId="9" fillId="4" borderId="0" applyAlignment="1" pivotButton="0" quotePrefix="0" xfId="0">
      <alignment horizontal="general" vertical="bottom"/>
    </xf>
    <xf numFmtId="0" fontId="9" fillId="5"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7" fillId="0" borderId="0" applyAlignment="1" pivotButton="0" quotePrefix="0" xfId="0">
      <alignment horizontal="general" vertical="bottom" wrapText="1"/>
    </xf>
    <xf numFmtId="0" fontId="11" fillId="0" borderId="0" applyAlignment="1" pivotButton="0" quotePrefix="0" xfId="0">
      <alignment horizontal="general" vertical="bottom"/>
    </xf>
    <xf numFmtId="0" fontId="7" fillId="6" borderId="1" applyAlignment="1" pivotButton="0" quotePrefix="0" xfId="0">
      <alignment horizontal="general" vertical="top" wrapText="1"/>
    </xf>
    <xf numFmtId="0" fontId="12" fillId="0" borderId="0" applyAlignment="1" pivotButton="0" quotePrefix="0" xfId="0">
      <alignment horizontal="general" vertical="bottom" wrapText="1"/>
    </xf>
    <xf numFmtId="0" fontId="13" fillId="3" borderId="1" applyAlignment="1" pivotButton="0" quotePrefix="0" xfId="0">
      <alignment horizontal="general" vertical="top" wrapText="1"/>
    </xf>
    <xf numFmtId="0" fontId="7" fillId="3"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5" fillId="2" borderId="0" applyAlignment="1" pivotButton="0" quotePrefix="0" xfId="0">
      <alignment horizontal="center" vertical="center" wrapText="1"/>
    </xf>
    <xf numFmtId="0" fontId="6" fillId="3" borderId="1" applyAlignment="1" pivotButton="0" quotePrefix="0" xfId="0">
      <alignment horizontal="general" vertical="top" wrapText="1"/>
    </xf>
    <xf numFmtId="0" fontId="6" fillId="0" borderId="0" pivotButton="0" quotePrefix="0" xfId="0"/>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0" borderId="0" applyAlignment="1" pivotButton="0" quotePrefix="0" xfId="0">
      <alignment horizontal="general" vertical="bottom"/>
    </xf>
    <xf numFmtId="0" fontId="9" fillId="4" borderId="0" applyAlignment="1" pivotButton="0" quotePrefix="0" xfId="0">
      <alignment horizontal="general" vertical="bottom"/>
    </xf>
    <xf numFmtId="0" fontId="9" fillId="5"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7" fillId="0" borderId="0" applyAlignment="1" pivotButton="0" quotePrefix="0" xfId="0">
      <alignment horizontal="general" vertical="bottom" wrapText="1"/>
    </xf>
    <xf numFmtId="0" fontId="11" fillId="0" borderId="0" applyAlignment="1" pivotButton="0" quotePrefix="0" xfId="0">
      <alignment horizontal="general" vertical="bottom"/>
    </xf>
    <xf numFmtId="0" fontId="7" fillId="6" borderId="1" applyAlignment="1" pivotButton="0" quotePrefix="0" xfId="0">
      <alignment horizontal="general" vertical="top" wrapText="1"/>
    </xf>
    <xf numFmtId="0" fontId="12" fillId="0" borderId="0" applyAlignment="1" pivotButton="0" quotePrefix="0" xfId="0">
      <alignment horizontal="general" vertical="bottom" wrapText="1"/>
    </xf>
    <xf numFmtId="0" fontId="13" fillId="3" borderId="1" applyAlignment="1" pivotButton="0" quotePrefix="0" xfId="0">
      <alignment horizontal="general" vertical="top" wrapText="1"/>
    </xf>
    <xf numFmtId="0" fontId="7" fillId="3" borderId="1" applyAlignment="1" pivotButton="0" quotePrefix="0" xfId="0">
      <alignment horizontal="general" vertical="top" wrapText="1"/>
    </xf>
    <xf numFmtId="0" fontId="14" fillId="7" borderId="2" applyAlignment="1" pivotButton="0" quotePrefix="0" xfId="0">
      <alignment horizontal="center" vertical="center" wrapText="1"/>
    </xf>
    <xf numFmtId="0" fontId="15" fillId="8" borderId="2" applyAlignment="1" pivotButton="0" quotePrefix="0" xfId="0">
      <alignment vertical="top" wrapText="1"/>
    </xf>
    <xf numFmtId="0" fontId="6" fillId="9" borderId="1" applyAlignment="1" pivotButton="0" quotePrefix="0" xfId="0">
      <alignment horizontal="general" vertical="top" wrapText="1"/>
    </xf>
    <xf numFmtId="0" fontId="6" fillId="9" borderId="0" pivotButton="0" quotePrefix="0" xfId="0"/>
    <xf numFmtId="0" fontId="7" fillId="9" borderId="1" applyAlignment="1" pivotButton="0" quotePrefix="0" xfId="0">
      <alignment horizontal="general" vertical="top" wrapText="1"/>
    </xf>
    <xf numFmtId="0" fontId="0" fillId="9"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3F4"/>
      <rgbColor rgb="FFD6EA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5F5E3"/>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B4F72"/>
      <rgbColor rgb="FF339966"/>
      <rgbColor rgb="FF003300"/>
      <rgbColor rgb="FF333300"/>
      <rgbColor rgb="FF993300"/>
      <rgbColor rgb="FF993366"/>
      <rgbColor rgb="FF333399"/>
      <rgbColor rgb="FF555555"/>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C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L3" authorId="0" shapeId="0">
      <text>
        <t>[Extract] | Confidence: 50%</t>
      </text>
    </comment>
  </commentList>
</comments>
</file>

<file path=xl/comments/comment2.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List>
</comments>
</file>

<file path=xl/comments/comment3.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E4" authorId="0" shapeId="0">
      <text>
        <t>[Extract] | Confidence: 50%</t>
      </text>
    </comment>
    <comment ref="F4" authorId="0" shapeId="0">
      <text>
        <t>[Extract] | Confidence: 50%</t>
      </text>
    </comment>
    <comment ref="H4" authorId="0" shapeId="0">
      <text>
        <t>[Extract] | Confidence: 50%</t>
      </text>
    </comment>
    <comment ref="I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H5" authorId="0" shapeId="0">
      <text>
        <t>[Extract] | Confidence: 50%</t>
      </text>
    </comment>
    <comment ref="I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H6" authorId="0" shapeId="0">
      <text>
        <t>[Extract] | Confidence: 50%</t>
      </text>
    </comment>
    <comment ref="I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H7" authorId="0" shapeId="0">
      <text>
        <t>[Extract] | Confidence: 50%</t>
      </text>
    </comment>
    <comment ref="I7" authorId="0" shapeId="0">
      <text>
        <t>[Extract] | Confidence: 50%</t>
      </text>
    </comment>
  </commentList>
</comments>
</file>

<file path=xl/comments/comment4.xml><?xml version="1.0" encoding="utf-8"?>
<comments xmlns="http://schemas.openxmlformats.org/spreadsheetml/2006/main">
  <authors>
    <author>uofa extract</author>
  </authors>
  <commentList>
    <comment ref="C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C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C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C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G8" authorId="0" shapeId="0">
      <text>
        <t>[Extract] | Confidence: 50%</t>
      </text>
    </comment>
    <comment ref="C9" authorId="0" shapeId="0">
      <text>
        <t>[Extract] | Confidence: 50%</t>
      </text>
    </comment>
    <comment ref="D9" authorId="0" shapeId="0">
      <text>
        <t>[Extract] | Confidence: 50%</t>
      </text>
    </comment>
    <comment ref="E9" authorId="0" shapeId="0">
      <text>
        <t>[Extract] | Confidence: 50%</t>
      </text>
    </comment>
    <comment ref="F9" authorId="0" shapeId="0">
      <text>
        <t>[Extract] | Confidence: 50%</t>
      </text>
    </comment>
    <comment ref="G9" authorId="0" shapeId="0">
      <text>
        <t>[Extract] | Confidence: 50%</t>
      </text>
    </comment>
    <comment ref="C10" authorId="0" shapeId="0">
      <text>
        <t>[Extract] | Confidence: 50%</t>
      </text>
    </comment>
    <comment ref="D10" authorId="0" shapeId="0">
      <text>
        <t>[Extract] | Confidence: 50%</t>
      </text>
    </comment>
    <comment ref="E10" authorId="0" shapeId="0">
      <text>
        <t>[Extract] | Confidence: 50%</t>
      </text>
    </comment>
    <comment ref="F10" authorId="0" shapeId="0">
      <text>
        <t>[Extract] | Confidence: 50%</t>
      </text>
    </comment>
    <comment ref="G10" authorId="0" shapeId="0">
      <text>
        <t>[Extract] | Confidence: 50%</t>
      </text>
    </comment>
    <comment ref="C11" authorId="0" shapeId="0">
      <text>
        <t>[Extract] | Confidence: 50%</t>
      </text>
    </comment>
    <comment ref="D11" authorId="0" shapeId="0">
      <text>
        <t>[Extract] | Confidence: 50%</t>
      </text>
    </comment>
    <comment ref="E11" authorId="0" shapeId="0">
      <text>
        <t>[Extract] | Confidence: 50%</t>
      </text>
    </comment>
    <comment ref="F11" authorId="0" shapeId="0">
      <text>
        <t>[Extract] | Confidence: 50%</t>
      </text>
    </comment>
    <comment ref="G11" authorId="0" shapeId="0">
      <text>
        <t>[Extract] | Confidence: 50%</t>
      </text>
    </comment>
    <comment ref="C12" authorId="0" shapeId="0">
      <text>
        <t>[Extract] | Confidence: 50%</t>
      </text>
    </comment>
    <comment ref="D12" authorId="0" shapeId="0">
      <text>
        <t>[Extract] | Confidence: 50%</t>
      </text>
    </comment>
    <comment ref="E12" authorId="0" shapeId="0">
      <text>
        <t>[Extract] | Confidence: 50%</t>
      </text>
    </comment>
    <comment ref="F12" authorId="0" shapeId="0">
      <text>
        <t>[Extract] | Confidence: 50%</t>
      </text>
    </comment>
    <comment ref="G12" authorId="0" shapeId="0">
      <text>
        <t>[Extract] | Confidence: 50%</t>
      </text>
    </comment>
    <comment ref="C13" authorId="0" shapeId="0">
      <text>
        <t>[Extract] | Confidence: 50%</t>
      </text>
    </comment>
    <comment ref="D13" authorId="0" shapeId="0">
      <text>
        <t>[Extract] | Confidence: 50%</t>
      </text>
    </comment>
    <comment ref="E13" authorId="0" shapeId="0">
      <text>
        <t>[Extract] | Confidence: 50%</t>
      </text>
    </comment>
    <comment ref="F13" authorId="0" shapeId="0">
      <text>
        <t>[Extract] | Confidence: 50%</t>
      </text>
    </comment>
    <comment ref="G13" authorId="0" shapeId="0">
      <text>
        <t>[Extract] | Confidence: 50%</t>
      </text>
    </comment>
    <comment ref="C14" authorId="0" shapeId="0">
      <text>
        <t>[Extract] | Confidence: 50%</t>
      </text>
    </comment>
    <comment ref="D14" authorId="0" shapeId="0">
      <text>
        <t>[Extract] | Confidence: 50%</t>
      </text>
    </comment>
    <comment ref="E14" authorId="0" shapeId="0">
      <text>
        <t>[Extract] | Confidence: 50%</t>
      </text>
    </comment>
    <comment ref="F14" authorId="0" shapeId="0">
      <text>
        <t>[Extract] | Confidence: 50%</t>
      </text>
    </comment>
    <comment ref="G14" authorId="0" shapeId="0">
      <text>
        <t>[Extract] | Confidence: 50%</t>
      </text>
    </comment>
    <comment ref="C15" authorId="0" shapeId="0">
      <text>
        <t>[Extract] | Confidence: 50%</t>
      </text>
    </comment>
    <comment ref="D15" authorId="0" shapeId="0">
      <text>
        <t>[Extract] | Confidence: 50%</t>
      </text>
    </comment>
    <comment ref="E15" authorId="0" shapeId="0">
      <text>
        <t>[Extract] | Confidence: 50%</t>
      </text>
    </comment>
    <comment ref="F15" authorId="0" shapeId="0">
      <text>
        <t>[Extract] | Confidence: 50%</t>
      </text>
    </comment>
    <comment ref="G15" authorId="0" shapeId="0">
      <text>
        <t>[Extract] | Confidence: 50%</t>
      </text>
    </comment>
    <comment ref="C16" authorId="0" shapeId="0">
      <text>
        <t>[Extract] | Confidence: 50%</t>
      </text>
    </comment>
    <comment ref="D16" authorId="0" shapeId="0">
      <text>
        <t>[Extract] | Confidence: 50%</t>
      </text>
    </comment>
    <comment ref="E16" authorId="0" shapeId="0">
      <text>
        <t>[Extract] | Confidence: 50%</t>
      </text>
    </comment>
    <comment ref="F16" authorId="0" shapeId="0">
      <text>
        <t>[Extract] | Confidence: 50%</t>
      </text>
    </comment>
    <comment ref="G16" authorId="0" shapeId="0">
      <text>
        <t>[Extract] | Confidence: 50%</t>
      </text>
    </comment>
    <comment ref="C17" authorId="0" shapeId="0">
      <text>
        <t>[Extract] | Confidence: 50%</t>
      </text>
    </comment>
    <comment ref="D17" authorId="0" shapeId="0">
      <text>
        <t>[Extract] | Confidence: 50%</t>
      </text>
    </comment>
    <comment ref="E17" authorId="0" shapeId="0">
      <text>
        <t>[Extract] | Confidence: 50%</t>
      </text>
    </comment>
    <comment ref="F17" authorId="0" shapeId="0">
      <text>
        <t>[Extract] | Confidence: 50%</t>
      </text>
    </comment>
    <comment ref="G17" authorId="0" shapeId="0">
      <text>
        <t>[Extract] | Confidence: 50%</t>
      </text>
    </comment>
  </commentList>
</comments>
</file>

<file path=xl/comments/comment5.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filterMode="0">
    <outlinePr summaryBelow="1" summaryRight="1"/>
    <pageSetUpPr fitToPage="1"/>
  </sheetPr>
  <dimension ref="A1:L6"/>
  <sheetViews>
    <sheetView showFormulas="0" showGridLines="1"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30" customWidth="1" style="17" min="2" max="2"/>
    <col width="40" customWidth="1" style="17" min="3" max="3"/>
    <col width="12" customWidth="1" style="17" min="4" max="4"/>
    <col width="14" customWidth="1" style="17" min="5" max="5"/>
    <col width="16" customWidth="1" style="17" min="6" max="6"/>
    <col width="14" customWidth="1" style="17" min="7" max="7"/>
    <col width="20" customWidth="1" style="17" min="8" max="8"/>
    <col width="22" customWidth="1" style="17" min="9" max="9"/>
    <col width="16" customWidth="1" style="17" min="10" max="10"/>
    <col width="30" customWidth="1" style="17" min="11" max="11"/>
  </cols>
  <sheetData>
    <row r="1" ht="30" customHeight="1" s="18">
      <c r="A1" s="19" t="inlineStr">
        <is>
          <t>Unit of Assurance — Assessment Summary</t>
        </is>
      </c>
    </row>
    <row r="2" ht="23.85" customHeight="1" s="18">
      <c r="A2" s="20" t="inlineStr">
        <is>
          <t>Project Name</t>
        </is>
      </c>
      <c r="B2" s="20" t="inlineStr">
        <is>
          <t>COU Name</t>
        </is>
      </c>
      <c r="C2" s="20" t="inlineStr">
        <is>
          <t>COU Description</t>
        </is>
      </c>
      <c r="D2" s="20" t="inlineStr">
        <is>
          <t>Profile</t>
        </is>
      </c>
      <c r="E2" s="20" t="inlineStr">
        <is>
          <t>Device Class</t>
        </is>
      </c>
      <c r="F2" s="20" t="inlineStr">
        <is>
          <t>Model Risk Level</t>
        </is>
      </c>
      <c r="G2" s="20" t="inlineStr">
        <is>
          <t>Assurance Level</t>
        </is>
      </c>
      <c r="H2" s="20" t="inlineStr">
        <is>
          <t>Standards Reference</t>
        </is>
      </c>
      <c r="I2" s="20" t="inlineStr">
        <is>
          <t>Assessor Name</t>
        </is>
      </c>
      <c r="J2" s="20" t="inlineStr">
        <is>
          <t>Assessment Date</t>
        </is>
      </c>
      <c r="K2" s="20" t="inlineStr">
        <is>
          <t>Source Document</t>
        </is>
      </c>
      <c r="L2" s="21" t="inlineStr">
        <is>
          <t>Has UQ?</t>
        </is>
      </c>
    </row>
    <row r="3" ht="32.8" customHeight="1" s="18">
      <c r="A3" s="39" t="inlineStr">
        <is>
          <t>EB-214 Axial Blower CFD Performance Predictions</t>
        </is>
      </c>
      <c r="B3" s="39" t="inlineStr">
        <is>
          <t>CFD prediction of axial blower pressure-flow characteristic and efficiency for scooter battery pack cooling design screening</t>
        </is>
      </c>
      <c r="C3" s="39" t="inlineStr">
        <is>
          <t>Ansys Fluent 2023 R2 incompressible RANS (k-ω SST, MRF) simulations of a 74 mm axial blower operating at 2200–3400 rpm and 0.02–0.08 kg/s to predict fan total pressure rise and shaft power trends for concept-stage design selection (A/B/C rotor variants). Not intended for certification, noise prediction, or stall margin assessment.</t>
        </is>
      </c>
      <c r="D3" s="39" t="inlineStr">
        <is>
          <t>Complete</t>
        </is>
      </c>
      <c r="E3" s="39" t="inlineStr">
        <is>
          <t>N/A</t>
        </is>
      </c>
      <c r="F3" s="39" t="inlineStr">
        <is>
          <t>MRL 2</t>
        </is>
      </c>
      <c r="G3" s="39" t="inlineStr">
        <is>
          <t>Low</t>
        </is>
      </c>
      <c r="H3" s="39" t="inlineStr">
        <is>
          <t>ASME-VV40-2018</t>
        </is>
      </c>
      <c r="I3" s="39" t="inlineStr">
        <is>
          <t>L. Andrade (Fluid Systems Group)</t>
        </is>
      </c>
      <c r="J3" s="22" t="inlineStr">
        <is>
          <t>Date of this assessment (YYYY-MM-DD)</t>
        </is>
      </c>
      <c r="K3" s="22" t="inlineStr">
        <is>
          <t>DOI, report number, or URI</t>
        </is>
      </c>
      <c r="L3" s="40" t="inlineStr">
        <is>
          <t>Yes</t>
        </is>
      </c>
    </row>
    <row r="4" ht="15" customHeight="1" s="18">
      <c r="A4" s="24" t="n"/>
      <c r="B4" s="24" t="n"/>
      <c r="C4" s="25" t="n"/>
      <c r="D4" s="24" t="n"/>
      <c r="E4" s="25" t="n"/>
      <c r="F4" s="25" t="n"/>
      <c r="G4" s="25" t="n"/>
      <c r="H4" s="25" t="n"/>
      <c r="I4" s="24" t="n"/>
      <c r="J4" s="24" t="n"/>
      <c r="K4" s="25" t="n"/>
    </row>
    <row r="6" ht="15" customHeight="1" s="18">
      <c r="A6" s="26" t="inlineStr">
        <is>
          <t>Legend:</t>
        </is>
      </c>
      <c r="C6" s="27" t="inlineStr">
        <is>
          <t>Required (Minimal)</t>
        </is>
      </c>
      <c r="D6" s="28" t="inlineStr">
        <is>
          <t>Required (Complete)</t>
        </is>
      </c>
      <c r="E6" s="29" t="inlineStr">
        <is>
          <t>Optional</t>
        </is>
      </c>
    </row>
  </sheetData>
  <mergeCells count="2">
    <mergeCell ref="A1:K1"/>
    <mergeCell ref="A6:B6"/>
  </mergeCells>
  <dataValidations count="5">
    <dataValidation sqref="D4" showDropDown="0" showInputMessage="0" showErrorMessage="0" allowBlank="0" error="Select Minimal or Complete" type="list" errorStyle="stop" operator="between">
      <formula1>list_profile</formula1>
      <formula2>0</formula2>
    </dataValidation>
    <dataValidation sqref="E4" showDropDown="0" showInputMessage="0" showErrorMessage="0" allowBlank="1" type="list" errorStyle="stop" operator="between">
      <formula1>list_device_class</formula1>
      <formula2>0</formula2>
    </dataValidation>
    <dataValidation sqref="F4" showDropDown="0" showInputMessage="0" showErrorMessage="0" allowBlank="1" type="list" errorStyle="stop" operator="between">
      <formula1>list_mrl</formula1>
      <formula2>0</formula2>
    </dataValidation>
    <dataValidation sqref="G4" showDropDown="0" showInputMessage="0" showErrorMessage="0" allowBlank="1" type="list" errorStyle="stop" operator="between">
      <formula1>list_assurance</formula1>
      <formula2>0</formula2>
    </dataValidation>
    <dataValidation sqref="H4" showDropDown="0" showInputMessage="0" showErrorMessage="0" allowBlank="1" type="list" errorStyle="stop" operator="between">
      <formula1>list_standards</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1"/>
  </sheetPr>
  <dimension ref="A1:B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7" min="1" max="1"/>
    <col width="90" customWidth="1" style="17" min="2" max="2"/>
  </cols>
  <sheetData>
    <row r="1" ht="30" customHeight="1" s="18">
      <c r="A1" s="19" t="inlineStr">
        <is>
          <t>UofA Excel Template — Instructions</t>
        </is>
      </c>
    </row>
    <row r="3" ht="39.75" customHeight="1" s="18">
      <c r="A3" s="30" t="inlineStr">
        <is>
          <t>What is this?</t>
        </is>
      </c>
      <c r="B3" s="31" t="inlineStr">
        <is>
          <t>This workbook captures a credibility assessment for one Context of Use (COU). Fill it out, then run `uofa import` to convert it to a machine-verifiable evidence package.</t>
        </is>
      </c>
    </row>
    <row r="4" ht="39.75" customHeight="1" s="18">
      <c r="A4" s="30" t="inlineStr">
        <is>
          <t>One workbook = one COU</t>
        </is>
      </c>
      <c r="B4" s="31" t="inlineStr">
        <is>
          <t>If your project has multiple COUs (e.g., different device classes or risk levels for the same model), create a separate workbook for each.</t>
        </is>
      </c>
    </row>
    <row r="5" ht="39.75" customHeight="1" s="18">
      <c r="A5" s="30" t="inlineStr">
        <is>
          <t>Profiles</t>
        </is>
      </c>
      <c r="B5" s="31" t="inlineStr">
        <is>
          <t>Minimal (7 fields, lightweight audit trail) is for early-stage projects or live pipeline capture. Complete (full V&amp;V 40 assessment) is for regulatory submissions.</t>
        </is>
      </c>
    </row>
    <row r="6" ht="39.75" customHeight="1" s="18">
      <c r="A6" s="30" t="inlineStr">
        <is>
          <t>Color coding</t>
        </is>
      </c>
      <c r="B6" s="31" t="inlineStr">
        <is>
          <t>Blue cells = required for Minimal profile. Green cells = required for Complete profile. White cells = optional.</t>
        </is>
      </c>
    </row>
    <row r="7" ht="39.75" customHeight="1" s="18">
      <c r="A7" s="30" t="inlineStr">
        <is>
          <t>Credibility Factors</t>
        </is>
      </c>
      <c r="B7" s="31" t="inlineStr">
        <is>
          <t>Sheet 4 is pre-populated with all 13 V&amp;V 40 factors from Table 5-1. You do not need to assess all 13 — set Assessed = "No" or "N/A" for factors not relevant to your COU.</t>
        </is>
      </c>
    </row>
    <row r="8" ht="39.75" customHeight="1" s="18">
      <c r="A8" s="30" t="inlineStr">
        <is>
          <t>Dropdowns</t>
        </is>
      </c>
      <c r="B8" s="31" t="inlineStr">
        <is>
          <t>Most constrained fields use dropdown lists. If you need a custom value not in the dropdown, type it directly (the validation will warn but not prevent entry).</t>
        </is>
      </c>
    </row>
    <row r="9" ht="39.75" customHeight="1" s="18">
      <c r="A9" s="30" t="inlineStr">
        <is>
          <t>After filling out</t>
        </is>
      </c>
      <c r="B9" s="31" t="inlineStr">
        <is>
          <t>Run: uofa import your-file.xlsx --sign --key keys/your.key --check</t>
        </is>
      </c>
    </row>
    <row r="10" ht="39.75" customHeight="1" s="18">
      <c r="A10" s="30" t="inlineStr">
        <is>
          <t>What the tool checks</t>
        </is>
      </c>
      <c r="B10" s="31" t="inlineStr">
        <is>
          <t>Gate 1 (SHACL): Are all required fields present? Gate 2 (Jena rules): Are there quality gaps (weakeners)? Gate 3 (Integrity): Is the hash and signature valid?</t>
        </is>
      </c>
    </row>
    <row r="11" ht="39.75" customHeight="1" s="18">
      <c r="A11" s="30" t="inlineStr">
        <is>
          <t>More info</t>
        </is>
      </c>
      <c r="B11" s="31" t="inlineStr">
        <is>
          <t>https://crediblesimulation.com | https://github.com/cloudronin/uofa</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L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18">
      <c r="A1" s="32" t="inlineStr">
        <is>
          <t>Profile</t>
        </is>
      </c>
      <c r="B1" s="32" t="inlineStr">
        <is>
          <t>Device Class</t>
        </is>
      </c>
      <c r="C1" s="32" t="inlineStr">
        <is>
          <t>Model Risk Level</t>
        </is>
      </c>
      <c r="D1" s="32" t="inlineStr">
        <is>
          <t>Assurance Level</t>
        </is>
      </c>
      <c r="E1" s="32" t="inlineStr">
        <is>
          <t>Standards Reference</t>
        </is>
      </c>
      <c r="F1" s="32" t="inlineStr">
        <is>
          <t>Entity Type</t>
        </is>
      </c>
      <c r="G1" s="32" t="inlineStr">
        <is>
          <t>Has UQ</t>
        </is>
      </c>
      <c r="H1" s="32" t="inlineStr">
        <is>
          <t>Pass/Fail</t>
        </is>
      </c>
      <c r="I1" s="32" t="inlineStr">
        <is>
          <t>Factor Level (1-5)</t>
        </is>
      </c>
      <c r="J1" s="32" t="inlineStr">
        <is>
          <t>Factor Status</t>
        </is>
      </c>
      <c r="K1" s="32" t="inlineStr">
        <is>
          <t>Decision Outcome</t>
        </is>
      </c>
      <c r="L1" s="17" t="inlineStr">
        <is>
          <t>Has UQ (COU-level)</t>
        </is>
      </c>
    </row>
    <row r="2" ht="15" customHeight="1" s="18">
      <c r="A2" s="17" t="inlineStr">
        <is>
          <t>Minimal</t>
        </is>
      </c>
      <c r="B2" s="17" t="inlineStr">
        <is>
          <t>Class I</t>
        </is>
      </c>
      <c r="C2" s="17" t="inlineStr">
        <is>
          <t>MRL 1</t>
        </is>
      </c>
      <c r="D2" s="17" t="inlineStr">
        <is>
          <t>Low</t>
        </is>
      </c>
      <c r="E2" s="17" t="inlineStr">
        <is>
          <t>ASME-VV40-2018</t>
        </is>
      </c>
      <c r="F2" s="17" t="inlineStr">
        <is>
          <t>Requirement</t>
        </is>
      </c>
      <c r="G2" s="17" t="inlineStr">
        <is>
          <t>Yes</t>
        </is>
      </c>
      <c r="H2" s="17" t="inlineStr">
        <is>
          <t>Pass</t>
        </is>
      </c>
      <c r="I2" s="17" t="n">
        <v>1</v>
      </c>
      <c r="J2" s="17" t="inlineStr">
        <is>
          <t>assessed</t>
        </is>
      </c>
      <c r="K2" s="17" t="inlineStr">
        <is>
          <t>Accepted</t>
        </is>
      </c>
      <c r="L2" s="17" t="inlineStr">
        <is>
          <t>Yes</t>
        </is>
      </c>
    </row>
    <row r="3" ht="15" customHeight="1" s="18">
      <c r="A3" s="17" t="inlineStr">
        <is>
          <t>Complete</t>
        </is>
      </c>
      <c r="B3" s="17" t="inlineStr">
        <is>
          <t>Class II</t>
        </is>
      </c>
      <c r="C3" s="17" t="inlineStr">
        <is>
          <t>MRL 2</t>
        </is>
      </c>
      <c r="D3" s="17" t="inlineStr">
        <is>
          <t>Medium</t>
        </is>
      </c>
      <c r="E3" s="17" t="inlineStr">
        <is>
          <t>NASA-STD-7009B</t>
        </is>
      </c>
      <c r="F3" s="17" t="inlineStr">
        <is>
          <t>Model</t>
        </is>
      </c>
      <c r="G3" s="17" t="inlineStr">
        <is>
          <t>No</t>
        </is>
      </c>
      <c r="H3" s="17" t="inlineStr">
        <is>
          <t>Fail</t>
        </is>
      </c>
      <c r="I3" s="17" t="n">
        <v>2</v>
      </c>
      <c r="J3" s="17" t="inlineStr">
        <is>
          <t>not-assessed</t>
        </is>
      </c>
      <c r="K3" s="17" t="inlineStr">
        <is>
          <t>Not accepted</t>
        </is>
      </c>
      <c r="L3" s="17" t="inlineStr">
        <is>
          <t>No</t>
        </is>
      </c>
    </row>
    <row r="4" ht="15" customHeight="1" s="18">
      <c r="B4" s="17" t="inlineStr">
        <is>
          <t>Class III</t>
        </is>
      </c>
      <c r="C4" s="17" t="inlineStr">
        <is>
          <t>MRL 3</t>
        </is>
      </c>
      <c r="D4" s="17" t="inlineStr">
        <is>
          <t>High</t>
        </is>
      </c>
      <c r="E4" s="17" t="inlineStr">
        <is>
          <t>FDA-2023-CMS</t>
        </is>
      </c>
      <c r="F4" s="17" t="inlineStr">
        <is>
          <t>Dataset</t>
        </is>
      </c>
      <c r="H4" s="17" t="inlineStr">
        <is>
          <t>Inconclusive</t>
        </is>
      </c>
      <c r="I4" s="17" t="n">
        <v>3</v>
      </c>
      <c r="J4" s="17" t="inlineStr">
        <is>
          <t>scoped-out</t>
        </is>
      </c>
      <c r="K4" s="17" t="inlineStr">
        <is>
          <t>Conditional</t>
        </is>
      </c>
    </row>
    <row r="5" ht="15" customHeight="1" s="18">
      <c r="B5" s="17" t="inlineStr">
        <is>
          <t>Category A</t>
        </is>
      </c>
      <c r="C5" s="17" t="inlineStr">
        <is>
          <t>MRL 4</t>
        </is>
      </c>
      <c r="E5" s="17" t="inlineStr">
        <is>
          <t>Custom</t>
        </is>
      </c>
      <c r="H5" s="17" t="inlineStr">
        <is>
          <t>N/A</t>
        </is>
      </c>
      <c r="I5" s="17" t="n">
        <v>4</v>
      </c>
      <c r="J5" s="17" t="inlineStr">
        <is>
          <t>not-applicable</t>
        </is>
      </c>
    </row>
    <row r="6" ht="15" customHeight="1" s="18">
      <c r="B6" s="17" t="inlineStr">
        <is>
          <t>Category B</t>
        </is>
      </c>
      <c r="C6" s="17" t="inlineStr">
        <is>
          <t>MRL 5</t>
        </is>
      </c>
      <c r="I6" s="17" t="n">
        <v>5</v>
      </c>
    </row>
    <row r="7" ht="15" customHeight="1" s="18">
      <c r="B7" s="17" t="inlineStr">
        <is>
          <t>Category C</t>
        </is>
      </c>
    </row>
    <row r="8" ht="15" customHeight="1" s="18">
      <c r="B8" s="17" t="inlineStr">
        <is>
          <t>Category D</t>
        </is>
      </c>
    </row>
    <row r="9" ht="15" customHeight="1" s="18">
      <c r="B9" s="17" t="inlineStr">
        <is>
          <t>Category E</t>
        </is>
      </c>
    </row>
    <row r="10" ht="15" customHeight="1" s="18">
      <c r="B10" s="17" t="inlineStr">
        <is>
          <t>Other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7" min="1" max="1"/>
    <col width="35" customWidth="1" style="17" min="2" max="2"/>
    <col width="40" customWidth="1" style="17" min="3" max="3"/>
    <col width="45" customWidth="1" style="17" min="4" max="4"/>
    <col width="12" customWidth="1" style="17" min="5" max="5"/>
    <col width="20" customWidth="1" style="17" min="6" max="6"/>
  </cols>
  <sheetData>
    <row r="1" ht="30" customHeight="1" s="18">
      <c r="A1" s="19" t="inlineStr">
        <is>
          <t>Model &amp; Data — What you modeled and compared against</t>
        </is>
      </c>
    </row>
    <row r="2" ht="15" customHeight="1" s="18">
      <c r="A2" s="20" t="inlineStr">
        <is>
          <t>Entity Type</t>
        </is>
      </c>
      <c r="B2" s="20" t="inlineStr">
        <is>
          <t>Name</t>
        </is>
      </c>
      <c r="C2" s="20" t="inlineStr">
        <is>
          <t>Identifier / URI</t>
        </is>
      </c>
      <c r="D2" s="20" t="inlineStr">
        <is>
          <t>Description</t>
        </is>
      </c>
      <c r="E2" s="20" t="inlineStr">
        <is>
          <t>Version</t>
        </is>
      </c>
      <c r="F2" s="20" t="inlineStr">
        <is>
          <t>Source</t>
        </is>
      </c>
    </row>
    <row r="3" ht="32.8" customHeight="1" s="18">
      <c r="A3" s="39" t="inlineStr">
        <is>
          <t>Requirement</t>
        </is>
      </c>
      <c r="B3" s="39" t="inlineStr">
        <is>
          <t>CFD fan curve and efficiency accuracy for design screening</t>
        </is>
      </c>
      <c r="C3" s="22" t="inlineStr">
        <is>
          <t>Stable URI or local ID</t>
        </is>
      </c>
      <c r="D3" s="39" t="inlineStr">
        <is>
          <t>CFD-predicted total pressure rise and comparative efficiency trends must be sufficiently accurate to rank rotor design variants (A/B/C) and populate the system thermal model within the 2200–3400 rpm, 0.02–0.08 kg/s envelope; absolute performance deviations from bench data must remain within acceptable bounds for concept-stage decision-making, with noted caution at throttled conditions.</t>
        </is>
      </c>
      <c r="E3" s="22" t="inlineStr">
        <is>
          <t>Version number (optional)</t>
        </is>
      </c>
      <c r="F3" s="22" t="inlineStr">
        <is>
          <t>Where this came from (optional)</t>
        </is>
      </c>
    </row>
    <row r="4" ht="15" customHeight="1" s="18">
      <c r="A4" s="41" t="inlineStr">
        <is>
          <t>Model</t>
        </is>
      </c>
      <c r="B4" s="41" t="inlineStr">
        <is>
          <t>Ansys Fluent 2023 R2 — incompressible RANS MRF blower model</t>
        </is>
      </c>
      <c r="C4" s="24" t="n"/>
      <c r="D4" s="41" t="inlineStr">
        <is>
          <t>Poly-hexcore mesh (9.8M cells production grid), k-ω SST turbulence closure, Multiple Reference Frame rotor treatment, second-order coupled pressure-velocity solver; operating points at 2000 and 3000 rpm across the design mass-flow range.</t>
        </is>
      </c>
      <c r="E4" s="33" t="n"/>
      <c r="F4" s="33" t="n"/>
    </row>
    <row r="5" ht="15" customHeight="1" s="18">
      <c r="A5" s="41" t="inlineStr">
        <is>
          <t>Dataset</t>
        </is>
      </c>
      <c r="B5" s="41" t="inlineStr">
        <is>
          <t>AMCA flow bench experimental dataset — EB-214 blower</t>
        </is>
      </c>
      <c r="C5" s="24" t="n"/>
      <c r="D5" s="41" t="inlineStr">
        <is>
          <t>Six measured pressure-rise vs. mass-flow data points (3 at 2000 rpm, 3 at 3000 rpm) from an AMCA-style bench using calibrated orifice meter and static pressure taps; expanded uncertainties quantified at 95% confidence level.</t>
        </is>
      </c>
      <c r="E5" s="33" t="n"/>
      <c r="F5" s="33" t="n"/>
    </row>
    <row r="6" ht="15" customHeight="1" s="18">
      <c r="A6" s="41" t="inlineStr">
        <is>
          <t>Dataset</t>
        </is>
      </c>
      <c r="B6" s="41" t="inlineStr">
        <is>
          <t>Three-grid mesh refinement dataset</t>
        </is>
      </c>
      <c r="C6" s="24" t="n"/>
      <c r="D6" s="41" t="inlineStr">
        <is>
          <t>Pressure rise and shaft power evaluated on coarse (5.2M), medium (9.8M), and fine (18.4M) cell grids at two flow rates (0.035 and 0.06 kg/s, 3000 rpm) to support Richardson extrapolation and GCI estimation.</t>
        </is>
      </c>
      <c r="E6" s="33" t="n"/>
      <c r="F6" s="33" t="n"/>
    </row>
    <row r="7" ht="15" customHeight="1" s="18">
      <c r="A7" s="24" t="n"/>
      <c r="B7" s="24" t="n"/>
      <c r="C7" s="24" t="n"/>
      <c r="D7" s="33" t="n"/>
      <c r="E7" s="33" t="n"/>
      <c r="F7" s="33" t="n"/>
    </row>
    <row r="8" ht="15" customHeight="1" s="18">
      <c r="A8" s="24" t="n"/>
      <c r="B8" s="24" t="n"/>
      <c r="C8" s="24" t="n"/>
      <c r="D8" s="33" t="n"/>
      <c r="E8" s="33" t="n"/>
      <c r="F8" s="33" t="n"/>
    </row>
    <row r="9" ht="15" customHeight="1" s="18">
      <c r="A9" s="24" t="n"/>
      <c r="B9" s="24" t="n"/>
      <c r="C9" s="24" t="n"/>
      <c r="D9" s="33" t="n"/>
      <c r="E9" s="33" t="n"/>
      <c r="F9" s="33" t="n"/>
    </row>
    <row r="10" ht="15" customHeight="1" s="18">
      <c r="A10" s="24" t="n"/>
      <c r="B10" s="24" t="n"/>
      <c r="C10" s="24" t="n"/>
      <c r="D10" s="33" t="n"/>
      <c r="E10" s="33" t="n"/>
      <c r="F10" s="33" t="n"/>
    </row>
    <row r="11" ht="15" customHeight="1" s="18">
      <c r="A11" s="24" t="n"/>
      <c r="B11" s="24" t="n"/>
      <c r="C11" s="24" t="n"/>
      <c r="D11" s="33" t="n"/>
      <c r="E11" s="33" t="n"/>
      <c r="F11" s="33" t="n"/>
    </row>
    <row r="12" ht="15" customHeight="1" s="18">
      <c r="A12" s="24" t="n"/>
      <c r="B12" s="24" t="n"/>
      <c r="C12" s="24" t="n"/>
      <c r="D12" s="33" t="n"/>
      <c r="E12" s="33" t="n"/>
      <c r="F12" s="33" t="n"/>
    </row>
    <row r="13" ht="15" customHeight="1" s="18">
      <c r="A13" s="24" t="n"/>
      <c r="B13" s="24" t="n"/>
      <c r="C13" s="24" t="n"/>
      <c r="D13" s="33" t="n"/>
      <c r="E13" s="33" t="n"/>
      <c r="F13" s="33" t="n"/>
    </row>
  </sheetData>
  <mergeCells count="1">
    <mergeCell ref="A1:F1"/>
  </mergeCells>
  <dataValidations count="1">
    <dataValidation sqref="A4:A13" showDropDown="0" showInputMessage="0" showErrorMessage="0" allowBlank="1" type="list" errorStyle="stop" operator="between">
      <formula1>list_entity_type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filterMode="0">
    <outlinePr summaryBelow="1" summaryRight="1"/>
    <pageSetUpPr fitToPage="1"/>
  </sheetPr>
  <dimension ref="A1:I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5" customWidth="1" style="17" min="1" max="1"/>
    <col width="35" customWidth="1" style="17" min="2" max="2"/>
    <col width="45" customWidth="1" style="17" min="3" max="3"/>
    <col width="35" customWidth="1" style="17" min="4" max="4"/>
    <col width="10" customWidth="1" style="17" min="5" max="5"/>
    <col width="30" customWidth="1" style="17" min="6" max="6"/>
    <col width="18" customWidth="1" style="17" min="7" max="7"/>
    <col width="14" customWidth="1" style="17" min="8" max="8"/>
  </cols>
  <sheetData>
    <row r="1" ht="30" customHeight="1" s="18">
      <c r="A1" s="19" t="inlineStr">
        <is>
          <t>Validation Results — What you found when you tested the model</t>
        </is>
      </c>
    </row>
    <row r="2" ht="15" customHeight="1" s="18">
      <c r="A2" s="20" t="inlineStr">
        <is>
          <t>Result Name</t>
        </is>
      </c>
      <c r="B2" s="20" t="inlineStr">
        <is>
          <t>Identifier / URI</t>
        </is>
      </c>
      <c r="C2" s="20" t="inlineStr">
        <is>
          <t>Description</t>
        </is>
      </c>
      <c r="D2" s="20" t="inlineStr">
        <is>
          <t>Compares To</t>
        </is>
      </c>
      <c r="E2" s="20" t="inlineStr">
        <is>
          <t>Has UQ?</t>
        </is>
      </c>
      <c r="F2" s="20" t="inlineStr">
        <is>
          <t>UQ Method</t>
        </is>
      </c>
      <c r="G2" s="20" t="inlineStr">
        <is>
          <t>Metric Value</t>
        </is>
      </c>
      <c r="H2" s="20" t="inlineStr">
        <is>
          <t>Pass / Fail</t>
        </is>
      </c>
    </row>
    <row r="3" ht="32.8" customHeight="1" s="18">
      <c r="A3" s="39" t="inlineStr">
        <is>
          <t>Mesh convergence / Richardson extrapolation study</t>
        </is>
      </c>
      <c r="B3" s="39" t="inlineStr">
        <is>
          <t>ValidationResult</t>
        </is>
      </c>
      <c r="C3" s="22" t="inlineStr">
        <is>
          <t>What was done, what was found</t>
        </is>
      </c>
      <c r="D3" s="39" t="inlineStr">
        <is>
          <t>Three-grid refinement study at 3000 rpm for Δpt and shaft power at 0.035 and 0.06 kg/s. Observed order of accuracy 1.9–2.1; residual grid effect on Δpt estimated at 1.8% (low flow) and 1.2% (high flow) using medium grid.</t>
        </is>
      </c>
      <c r="E3" s="39" t="inlineStr">
        <is>
          <t>Richardson extrapolated fine-grid limit</t>
        </is>
      </c>
      <c r="F3" s="39" t="inlineStr">
        <is>
          <t>Yes</t>
        </is>
      </c>
      <c r="G3" s="39" t="inlineStr">
        <is>
          <t>Richardson extrapolation (three-grid, monotonic convergence assumed)</t>
        </is>
      </c>
      <c r="H3" s="39" t="inlineStr">
        <is>
          <t>GCI/grid effect ~1.8% at low flow, ~1.2% at high flow on 9.8M grid</t>
        </is>
      </c>
      <c r="I3" s="42" t="inlineStr">
        <is>
          <t>Pass</t>
        </is>
      </c>
    </row>
    <row r="4" ht="15" customHeight="1" s="18">
      <c r="A4" s="41" t="inlineStr">
        <is>
          <t>Iterative solver convergence check</t>
        </is>
      </c>
      <c r="B4" s="41" t="inlineStr">
        <is>
          <t>ValidationResult</t>
        </is>
      </c>
      <c r="C4" s="33" t="n"/>
      <c r="D4" s="41" t="inlineStr">
        <is>
          <t>Residuals driven below 1×10⁻⁵ for continuity and momentum; mass imbalance &lt;0.1%; shaft torque and outlet total pressure stabilized within 0.2% over 400 iterations. Two throttled points required extended runs (1500 additional iterations) to reduce oscillations below 0.3%.</t>
        </is>
      </c>
      <c r="E4" s="41" t="inlineStr">
        <is>
          <t>Prescribed convergence criteria</t>
        </is>
      </c>
      <c r="F4" s="41" t="inlineStr">
        <is>
          <t>No</t>
        </is>
      </c>
      <c r="G4" s="33" t="n"/>
      <c r="H4" s="41" t="inlineStr">
        <is>
          <t>Residuals &lt;1e-5; torque/pressure oscillation &lt;0.3% of mean</t>
        </is>
      </c>
      <c r="I4" s="42" t="inlineStr">
        <is>
          <t>Pass</t>
        </is>
      </c>
    </row>
    <row r="5" ht="15" customHeight="1" s="18">
      <c r="A5" s="41" t="inlineStr">
        <is>
          <t>Fan pressure-rise comparison — CFD vs. bench (6 points)</t>
        </is>
      </c>
      <c r="B5" s="41" t="inlineStr">
        <is>
          <t>ValidationResult</t>
        </is>
      </c>
      <c r="C5" s="33" t="n"/>
      <c r="D5" s="41" t="inlineStr">
        <is>
          <t>Predicted total pressure rise compared to AMCA bench measurements at six operating conditions (2000 rpm and 3000 rpm, three flow rates each). Differences range from −3.2% to +6.7%; agreement within ±5% over most of the intended envelope, with larger over-prediction (~6–7%) at throttled low-flow conditions.</t>
        </is>
      </c>
      <c r="E5" s="41" t="inlineStr">
        <is>
          <t>AMCA flow bench measurements with calibrated orifice and static taps</t>
        </is>
      </c>
      <c r="F5" s="41" t="inlineStr">
        <is>
          <t>Yes</t>
        </is>
      </c>
      <c r="G5" s="41" t="inlineStr">
        <is>
          <t>Experimental expanded uncertainty (95%): ±1.2% flow, ±1.5% pressure; composite modeling uncertainty (RSS): ~±3.0% near BEP, ~±3.4% throttled</t>
        </is>
      </c>
      <c r="H5" s="41" t="inlineStr">
        <is>
          <t>Range −3.2% to +6.7%; BEP-region agreement ~±4%; throttled deviation up to +6.7%</t>
        </is>
      </c>
      <c r="I5" s="42" t="inlineStr">
        <is>
          <t>Inconclusive</t>
        </is>
      </c>
    </row>
    <row r="6" ht="15" customHeight="1" s="18">
      <c r="A6" s="41" t="inlineStr">
        <is>
          <t>Turbulence model sensitivity check (k-ω SST vs. Spalart-Allmaras)</t>
        </is>
      </c>
      <c r="B6" s="41" t="inlineStr">
        <is>
          <t>ValidationResult</t>
        </is>
      </c>
      <c r="C6" s="33" t="n"/>
      <c r="D6" s="41" t="inlineStr">
        <is>
          <t>Single operating point (3000 rpm, 0.05 kg/s) re-run with Spalart-Allmaras. Δpt changed by +1.6% and torque by +1.1% relative to k-ω SST, establishing a ±2% model-form uncertainty contribution for the RANS family.</t>
        </is>
      </c>
      <c r="E6" s="41" t="inlineStr">
        <is>
          <t>k-ω SST baseline prediction</t>
        </is>
      </c>
      <c r="F6" s="41" t="inlineStr">
        <is>
          <t>Yes</t>
        </is>
      </c>
      <c r="G6" s="41" t="inlineStr">
        <is>
          <t>Single alternative model comparison; ±2% assigned as model-form uncertainty band</t>
        </is>
      </c>
      <c r="H6" s="41" t="inlineStr">
        <is>
          <t>Δpt difference 1.6%; torque difference 1.1%</t>
        </is>
      </c>
      <c r="I6" s="42" t="inlineStr">
        <is>
          <t>Pass</t>
        </is>
      </c>
    </row>
    <row r="7" ht="15" customHeight="1" s="18">
      <c r="A7" s="41" t="inlineStr">
        <is>
          <t>MRF vs. transient sliding mesh comparison</t>
        </is>
      </c>
      <c r="B7" s="41" t="inlineStr">
        <is>
          <t>ValidationResult</t>
        </is>
      </c>
      <c r="C7" s="33" t="n"/>
      <c r="D7" s="41" t="inlineStr">
        <is>
          <t>One transient sliding-mesh case at 3000 rpm, 0.05 kg/s (2° time steps, 24 positions/rev) yielded Δpt 1.2% lower and time-averaged torque 0.9% lower than steady MRF; within composite uncertainty budget, supporting use of MRF for design screening.</t>
        </is>
      </c>
      <c r="E7" s="41" t="inlineStr">
        <is>
          <t>Steady MRF prediction at same operating point</t>
        </is>
      </c>
      <c r="F7" s="41" t="inlineStr">
        <is>
          <t>Yes</t>
        </is>
      </c>
      <c r="G7" s="41" t="inlineStr">
        <is>
          <t>Direct comparison; single-point assessment</t>
        </is>
      </c>
      <c r="H7" s="41" t="inlineStr">
        <is>
          <t>Δpt difference 1.2%; torque difference 0.9%</t>
        </is>
      </c>
      <c r="I7" s="42" t="inlineStr">
        <is>
          <t>Pass</t>
        </is>
      </c>
    </row>
    <row r="8" ht="15" customHeight="1" s="18">
      <c r="A8" s="24" t="n"/>
      <c r="B8" s="24" t="n"/>
      <c r="C8" s="33" t="n"/>
      <c r="D8" s="33" t="n"/>
      <c r="E8" s="25" t="n"/>
      <c r="F8" s="33" t="n"/>
      <c r="G8" s="33" t="n"/>
      <c r="H8" s="33" t="n"/>
    </row>
    <row r="9" ht="15" customHeight="1" s="18">
      <c r="A9" s="24" t="n"/>
      <c r="B9" s="24" t="n"/>
      <c r="C9" s="33" t="n"/>
      <c r="D9" s="33" t="n"/>
      <c r="E9" s="25" t="n"/>
      <c r="F9" s="33" t="n"/>
      <c r="G9" s="33" t="n"/>
      <c r="H9" s="33" t="n"/>
    </row>
    <row r="10" ht="15" customHeight="1" s="18">
      <c r="A10" s="24" t="n"/>
      <c r="B10" s="24" t="n"/>
      <c r="C10" s="33" t="n"/>
      <c r="D10" s="33" t="n"/>
      <c r="E10" s="25" t="n"/>
      <c r="F10" s="33" t="n"/>
      <c r="G10" s="33" t="n"/>
      <c r="H10" s="33" t="n"/>
    </row>
    <row r="11" ht="15" customHeight="1" s="18">
      <c r="A11" s="24" t="n"/>
      <c r="B11" s="24" t="n"/>
      <c r="C11" s="33" t="n"/>
      <c r="D11" s="33" t="n"/>
      <c r="E11" s="25" t="n"/>
      <c r="F11" s="33" t="n"/>
      <c r="G11" s="33" t="n"/>
      <c r="H11" s="33" t="n"/>
    </row>
    <row r="12" ht="15" customHeight="1" s="18">
      <c r="A12" s="24" t="n"/>
      <c r="B12" s="24" t="n"/>
      <c r="C12" s="33" t="n"/>
      <c r="D12" s="33" t="n"/>
      <c r="E12" s="25" t="n"/>
      <c r="F12" s="33" t="n"/>
      <c r="G12" s="33" t="n"/>
      <c r="H12" s="33" t="n"/>
    </row>
    <row r="13" ht="15" customHeight="1" s="18">
      <c r="A13" s="24" t="n"/>
      <c r="B13" s="24" t="n"/>
      <c r="C13" s="33" t="n"/>
      <c r="D13" s="33" t="n"/>
      <c r="E13" s="25" t="n"/>
      <c r="F13" s="33" t="n"/>
      <c r="G13" s="33" t="n"/>
      <c r="H13" s="33" t="n"/>
    </row>
  </sheetData>
  <mergeCells count="1">
    <mergeCell ref="A1:H1"/>
  </mergeCells>
  <dataValidations count="2">
    <dataValidation sqref="E4:E13" showDropDown="0" showInputMessage="0" showErrorMessage="0" allowBlank="1" type="list" errorStyle="stop" operator="between">
      <formula1>list_has_uq</formula1>
      <formula2>0</formula2>
    </dataValidation>
    <dataValidation sqref="H4:H13" showDropDown="0" showInputMessage="0" showErrorMessage="0" allowBlank="1" type="list" errorStyle="stop" operator="between">
      <formula1>list_pass_fail</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1"/>
  </sheetPr>
  <dimension ref="A1:H17"/>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17" min="1" max="1"/>
    <col width="25" customWidth="1" style="17" min="2" max="2"/>
    <col width="16" customWidth="1" style="17" min="3" max="4"/>
    <col width="40" customWidth="1" style="17" min="5" max="5"/>
    <col width="12" customWidth="1" style="17" min="6" max="6"/>
    <col width="22" customWidth="1" style="18" min="8" max="8"/>
  </cols>
  <sheetData>
    <row r="1" ht="30" customHeight="1" s="18">
      <c r="A1" s="19" t="inlineStr">
        <is>
          <t>Credibility Factors — V&amp;V 40 Table 5-1 Assessment</t>
        </is>
      </c>
    </row>
    <row r="2" ht="30" customHeight="1" s="18">
      <c r="A2" s="34" t="inlineStr">
        <is>
          <t>Complete profile only. Assess each relevant factor: set Required Level (goal given model risk) and Achieved Level (what evidence supports).</t>
        </is>
      </c>
    </row>
    <row r="3" ht="15" customHeight="1" s="18">
      <c r="A3" s="20" t="inlineStr">
        <is>
          <t>Factor Type</t>
        </is>
      </c>
      <c r="B3" s="20" t="inlineStr">
        <is>
          <t>Category</t>
        </is>
      </c>
      <c r="C3" s="20" t="inlineStr">
        <is>
          <t>Required Level</t>
        </is>
      </c>
      <c r="D3" s="20" t="inlineStr">
        <is>
          <t>Achieved Level</t>
        </is>
      </c>
      <c r="E3" s="21" t="inlineStr">
        <is>
          <t>Acceptance Criteria</t>
        </is>
      </c>
      <c r="F3" s="20" t="inlineStr">
        <is>
          <t>Rationale</t>
        </is>
      </c>
      <c r="G3" s="20" t="inlineStr">
        <is>
          <t>Factor Status</t>
        </is>
      </c>
      <c r="H3" s="37" t="inlineStr">
        <is>
          <t>Linked Evidence</t>
        </is>
      </c>
    </row>
    <row r="4" ht="22.35" customHeight="1" s="18">
      <c r="A4" s="22" t="inlineStr">
        <is>
          <t>V&amp;V 40 factor (pre-filled, do not edit)</t>
        </is>
      </c>
      <c r="B4" s="22" t="inlineStr">
        <is>
          <t>Grouping (pre-filled)</t>
        </is>
      </c>
      <c r="C4" s="22" t="inlineStr">
        <is>
          <t>Credibility goal for this factor (1-5)</t>
        </is>
      </c>
      <c r="D4" s="22" t="inlineStr">
        <is>
          <t>Level achieved by evidence (1-5)</t>
        </is>
      </c>
      <c r="E4" s="23" t="inlineStr">
        <is>
          <t>Goal and basis for the required level (from V&amp;V 40 Tables 3-4)</t>
        </is>
      </c>
      <c r="F4" s="22" t="inlineStr">
        <is>
          <t>Brief justification (esp. if achieved &lt; required)</t>
        </is>
      </c>
      <c r="G4" s="22" t="inlineStr">
        <is>
          <t>assessed / not-assessed / scoped-out / not-applicable</t>
        </is>
      </c>
      <c r="H4" s="38" t="inlineStr">
        <is>
          <t>URI of validation result that supports this factor (optional)</t>
        </is>
      </c>
    </row>
    <row r="5" ht="15" customHeight="1" s="18">
      <c r="A5" s="35" t="inlineStr">
        <is>
          <t>Software quality assurance</t>
        </is>
      </c>
      <c r="B5" s="36" t="inlineStr">
        <is>
          <t>Verification — Code</t>
        </is>
      </c>
      <c r="C5" s="41" t="n">
        <v>2</v>
      </c>
      <c r="D5" s="41" t="n">
        <v>3</v>
      </c>
      <c r="E5" s="42" t="inlineStr">
        <is>
          <t>Evidence that simulation software is tested and verified for internal turbomachinery flows</t>
        </is>
      </c>
      <c r="F5" s="41" t="inlineStr">
        <is>
          <t>Ansys Fluent 2023 R2 is a commercial, industry-standard CFD solver with established SQA processes, regression testing, and broad use in turbomachinery applications. The report identifies the specific version (2023 R2) and analyst. No explicit reference to an internal SQA record or ISO certificate is provided, but the commercial solver's qualification status is well-documented externally. Version identification and consistent solver settings across all cases are noted.</t>
        </is>
      </c>
      <c r="G5" s="41" t="inlineStr">
        <is>
          <t>assessed</t>
        </is>
      </c>
    </row>
    <row r="6" ht="15" customHeight="1" s="18">
      <c r="A6" s="36" t="inlineStr">
        <is>
          <t>Numerical code verification</t>
        </is>
      </c>
      <c r="B6" s="36" t="inlineStr">
        <is>
          <t>Verification — Code</t>
        </is>
      </c>
      <c r="C6" s="41" t="n">
        <v>2</v>
      </c>
      <c r="D6" s="41" t="n">
        <v>2</v>
      </c>
      <c r="E6" s="42" t="inlineStr">
        <is>
          <t>Evidence the solver correctly implements the governing equations for incompressible RANS internal flow</t>
        </is>
      </c>
      <c r="F6" s="41" t="inlineStr">
        <is>
          <t>The report relies on the commercial solver's established verification heritage for the incompressible Navier-Stokes and k-ω SST implementations. No project-specific MMS or analytical solution comparison is presented. The turbulence model and MRF formulation are standard verified Fluent features. Evidence is implicit rather than project-generated.</t>
        </is>
      </c>
      <c r="G6" s="41" t="inlineStr">
        <is>
          <t>assessed</t>
        </is>
      </c>
    </row>
    <row r="7" ht="15" customHeight="1" s="18">
      <c r="A7" s="35" t="inlineStr">
        <is>
          <t>Discretization error</t>
        </is>
      </c>
      <c r="B7" s="36" t="inlineStr">
        <is>
          <t>Verification — Calculation</t>
        </is>
      </c>
      <c r="C7" s="41" t="n">
        <v>2</v>
      </c>
      <c r="D7" s="41" t="n">
        <v>4</v>
      </c>
      <c r="E7" s="42" t="inlineStr">
        <is>
          <t>Spatial discretization error quantified and shown to be acceptable for the intended use</t>
        </is>
      </c>
      <c r="F7" s="41" t="inlineStr">
        <is>
          <t>A systematic three-grid study (5.2M, 9.8M, 18.4M cells) was performed at two flow rates (0.035 and 0.06 kg/s) at 3000 rpm. Apparent order of accuracy (1.9–2.1) was computed. Richardson extrapolation provided residual grid-effect estimates of 1.8% (low flow) and 1.2% (high flow) on the production 9.8M grid. The tradeoff between accuracy and runtime was explicitly documented and justified. Boundary-layer resolution (y+ 0.8–1.5 over 85% of wetted area) was reported.</t>
        </is>
      </c>
      <c r="G7" s="41" t="inlineStr">
        <is>
          <t>assessed</t>
        </is>
      </c>
    </row>
    <row r="8" ht="15" customHeight="1" s="18">
      <c r="A8" s="36" t="inlineStr">
        <is>
          <t>Numerical solver error</t>
        </is>
      </c>
      <c r="B8" s="36" t="inlineStr">
        <is>
          <t>Verification — Calculation</t>
        </is>
      </c>
      <c r="C8" s="41" t="n">
        <v>2</v>
      </c>
      <c r="D8" s="41" t="n">
        <v>4</v>
      </c>
      <c r="E8" s="42" t="inlineStr">
        <is>
          <t>Iterative solver convergence demonstrated to be adequate for all operating points</t>
        </is>
      </c>
      <c r="F8" s="41" t="inlineStr">
        <is>
          <t>Convergence criteria included scaled residuals &lt;1×10⁻⁵ for continuity and momentum, mass imbalance &lt;0.1%, and integral monitor stabilization (torque, outlet total pressure) within 0.2% over 400 iterations. Two throttled points required extended runs and were confirmed to oscillate below 0.3% of mean. Solver nonlinearity contribution estimated at 0.3% and included in the error budget.</t>
        </is>
      </c>
      <c r="G8" s="41" t="inlineStr">
        <is>
          <t>assessed</t>
        </is>
      </c>
    </row>
    <row r="9" ht="15" customHeight="1" s="18">
      <c r="A9" s="36" t="inlineStr">
        <is>
          <t>Use error</t>
        </is>
      </c>
      <c r="B9" s="36" t="inlineStr">
        <is>
          <t>Verification — Calculation</t>
        </is>
      </c>
      <c r="C9" s="41" t="n">
        <v>2</v>
      </c>
      <c r="D9" s="41" t="n">
        <v>3</v>
      </c>
      <c r="E9" s="42" t="inlineStr">
        <is>
          <t>Model setup (boundary conditions, geometry, solver settings) verified to be correct and consistent with intended use</t>
        </is>
      </c>
      <c r="F9" s="41" t="inlineStr">
        <is>
          <t>Boundary conditions were explicitly designed to mirror the test loop (5D straight inlet/outlet, mass-flow inlet with flat profile and 5% TI, static pressure outlet at ambient, matched tip clearance 0.25 mm). Sensitivity to inlet turbulence intensity and outlet duct length was tested and found small (&lt;0.8% and 0.6% respectively). Under-relaxation changes at two points were noted and justified. No formal independent third-party review of the setup is documented.</t>
        </is>
      </c>
      <c r="G9" s="41" t="inlineStr">
        <is>
          <t>assessed</t>
        </is>
      </c>
    </row>
    <row r="10" ht="15" customHeight="1" s="18">
      <c r="A10" s="35" t="inlineStr">
        <is>
          <t>Model form</t>
        </is>
      </c>
      <c r="B10" s="36" t="inlineStr">
        <is>
          <t>Validation — Model</t>
        </is>
      </c>
      <c r="C10" s="41" t="n">
        <v>2</v>
      </c>
      <c r="D10" s="41" t="n">
        <v>3</v>
      </c>
      <c r="E10" s="42" t="inlineStr">
        <is>
          <t>Mathematical model and turbulence closure appropriately represent the relevant flow physics</t>
        </is>
      </c>
      <c r="F10" s="41" t="inlineStr">
        <is>
          <t>Incompressible RANS with k-ω SST is justified for low-Mach (tip Mach &lt;0.15) internal flow with mild-to-moderate separation; blade chord Re &gt;2×10⁵ supports fully turbulent assumption. Limitations of steady MRF-RANS for tip leakage-dominated separated flow at low flow are explicitly acknowledged. A second turbulence model (SA) was tested. Transient MRF vs. sliding mesh was checked at one point. Known model-form limitation at throttled conditions is documented with a ±2% RANS-family uncertainty. No transitional model justification gap is flagged.</t>
        </is>
      </c>
      <c r="G10" s="41" t="inlineStr">
        <is>
          <t>assessed</t>
        </is>
      </c>
    </row>
    <row r="11" ht="15" customHeight="1" s="18">
      <c r="A11" s="36" t="inlineStr">
        <is>
          <t>Model inputs</t>
        </is>
      </c>
      <c r="B11" s="36" t="inlineStr">
        <is>
          <t>Validation — Model</t>
        </is>
      </c>
      <c r="C11" s="41" t="n">
        <v>2</v>
      </c>
      <c r="D11" s="41" t="n">
        <v>3</v>
      </c>
      <c r="E11" s="42" t="inlineStr">
        <is>
          <t>Input data (geometry, material properties, boundary conditions) adequately characterized with uncertainties noted</t>
        </is>
      </c>
      <c r="F11" s="41" t="inlineStr">
        <is>
          <t>Air properties are specified at 25°C/1 atm (ρ, μ given). Blade surface roughness (10 μm) is based on profilometer measurements on molded parts; production variability acknowledged and sensitivity tested (±0.9–1.4% on Δpt for 10→15 μm). Tip clearance set to measured assembly average (0.25 mm). Small geometric features (fillets &lt;0.8 mm, motor cavities) are omitted with estimated &lt;1% effect. As-tested roughness discrepancy (13 μm vs. 10 μm CFD) is identified and its directional effect noted. Full input uncertainty propagation is not formally performed.</t>
        </is>
      </c>
      <c r="G11" s="41" t="inlineStr">
        <is>
          <t>assessed</t>
        </is>
      </c>
    </row>
    <row r="12" ht="15" customHeight="1" s="18">
      <c r="A12" s="35" t="inlineStr">
        <is>
          <t>Test samples</t>
        </is>
      </c>
      <c r="B12" s="36" t="inlineStr">
        <is>
          <t>Validation — Comparator</t>
        </is>
      </c>
      <c r="C12" s="41" t="n">
        <v>2</v>
      </c>
      <c r="D12" s="41" t="n">
        <v>2</v>
      </c>
      <c r="E12" s="42" t="inlineStr">
        <is>
          <t>Test article is production-representative and adequately characterized</t>
        </is>
      </c>
      <c r="F12" s="41" t="inlineStr">
        <is>
          <t>A single blower unit was tested; the report does not mention multiple specimen testing or statistical characterization of unit-to-unit variability. The test rotor tip clearance matched the CFD nominal; as-molded surface roughness (Ra ≈ 13 μm) was measured on the tested rotor and noted to differ from the CFD input (10 μm). No discussion of sample size justification or lot-to-lot variation.</t>
        </is>
      </c>
      <c r="G12" s="41" t="inlineStr">
        <is>
          <t>assessed</t>
        </is>
      </c>
    </row>
    <row r="13" ht="15" customHeight="1" s="18">
      <c r="A13" s="36" t="inlineStr">
        <is>
          <t>Test conditions</t>
        </is>
      </c>
      <c r="B13" s="36" t="inlineStr">
        <is>
          <t>Validation — Comparator</t>
        </is>
      </c>
      <c r="C13" s="41" t="n">
        <v>2</v>
      </c>
      <c r="D13" s="41" t="n">
        <v>3</v>
      </c>
      <c r="E13" s="42" t="inlineStr">
        <is>
          <t>Test conditions are well-controlled and measurement uncertainties are quantified</t>
        </is>
      </c>
      <c r="F13" s="41" t="inlineStr">
        <is>
          <t>AMCA-style flow bench with calibrated orifice meter and static taps. Expanded uncertainties (95%) are explicitly reported: mass flow ±1.2%, static pressure rise ±1.5% (&gt;50 Pa) or ±0.8 Pa, speed ±10 rpm, temperature ±0.5°C. Barometric pressure and temperature recorded for density correction. PWM controller with closed-loop speed control. No reference to specific calibration certificates or formal ASTM/ISO test standard compliance is given.</t>
        </is>
      </c>
      <c r="G13" s="41" t="inlineStr">
        <is>
          <t>assessed</t>
        </is>
      </c>
    </row>
    <row r="14" ht="15" customHeight="1" s="18">
      <c r="A14" s="35" t="inlineStr">
        <is>
          <t>Equivalency of input parameters</t>
        </is>
      </c>
      <c r="B14" s="36" t="inlineStr">
        <is>
          <t>Validation — Assessment</t>
        </is>
      </c>
      <c r="C14" s="41" t="n">
        <v>2</v>
      </c>
      <c r="D14" s="41" t="n">
        <v>3</v>
      </c>
      <c r="E14" s="42" t="inlineStr">
        <is>
          <t>CFD model inputs demonstrably match the experimental test conditions</t>
        </is>
      </c>
      <c r="F14" s="41" t="inlineStr">
        <is>
          <t>Boundary conditions were explicitly designed to mirror the test loop configuration: same duct geometry (5D straight inlet/outlet, 70 mm ID), same tip clearance (0.25 mm), same working fluid, same speed and flow rate targets. Air temperature variation during tests was &lt;1.5°C and was fixed in CFD; density correction applied to test data. The roughness discrepancy (10 μm CFD vs. 13 μm test) is identified, its directional effect (~0.5–1% on Δpt) is estimated, but it is not formally corrected in the validation comparison.</t>
        </is>
      </c>
      <c r="G14" s="41" t="inlineStr">
        <is>
          <t>assessed</t>
        </is>
      </c>
    </row>
    <row r="15" ht="15" customHeight="1" s="18">
      <c r="A15" s="36" t="inlineStr">
        <is>
          <t>Output comparison</t>
        </is>
      </c>
      <c r="B15" s="36" t="inlineStr">
        <is>
          <t>Validation — Assessment</t>
        </is>
      </c>
      <c r="C15" s="41" t="n">
        <v>2</v>
      </c>
      <c r="D15" s="41" t="n">
        <v>3</v>
      </c>
      <c r="E15" s="42" t="inlineStr">
        <is>
          <t>Quantitative comparison of CFD predictions to experimental data with uncertainty characterization</t>
        </is>
      </c>
      <c r="F15" s="41" t="inlineStr">
        <is>
          <t>Six data points compared (3 at 2000 rpm, 3 at 3000 rpm) with percentage errors reported for each: range −3.2% to +6.7%. Experimental error bars are shown (±1.5–2.5 Pa absolute at the compared pressures). A composite modeling uncertainty budget (RSS of grid, solver, model-form, roughness contributions) yields ±3.0% near BEP and ±3.4% throttled, explicitly compared to the observed discrepancies. The over-prediction at low flow (~6–7%) is identified as exceeding the uncertainty budget, indicating model-form limitation. Efficiency comparisons are absent due to lack of torque measurement. Fan curves for both speeds are described (Figure C).</t>
        </is>
      </c>
      <c r="G15" s="41" t="inlineStr">
        <is>
          <t>assessed</t>
        </is>
      </c>
    </row>
    <row r="16" ht="15" customHeight="1" s="18">
      <c r="A16" s="35" t="inlineStr">
        <is>
          <t>Relevance of the quantities of interest</t>
        </is>
      </c>
      <c r="B16" s="36" t="inlineStr">
        <is>
          <t>Applicability</t>
        </is>
      </c>
      <c r="C16" s="41" t="n">
        <v>2</v>
      </c>
      <c r="D16" s="41" t="n">
        <v>4</v>
      </c>
      <c r="E16" s="42" t="inlineStr">
        <is>
          <t>Model outputs directly address the design screening decision and are measurable both computationally and experimentally</t>
        </is>
      </c>
      <c r="F16" s="41" t="inlineStr">
        <is>
          <t>Fan total pressure rise (Δpt) vs. mass flow is the primary QoI; it directly governs airflow through the battery duct network and is the critical input to the system thermal model. It is measurable on the bench (static taps + orifice) and directly computed in CFD. Shaft power and efficiency trend are secondary QoIs relevant to rotor ranking. The report explicitly limits scope (no acoustics, no stall margin), keeping QoIs tightly aligned with the decision. Efficiency lacks bench confirmation (no torque transducer), which is flagged.</t>
        </is>
      </c>
      <c r="G16" s="41" t="inlineStr">
        <is>
          <t>assessed</t>
        </is>
      </c>
    </row>
    <row r="17" ht="15" customHeight="1" s="18">
      <c r="A17" s="36" t="inlineStr">
        <is>
          <t>Relevance of the validation activities to the COU</t>
        </is>
      </c>
      <c r="B17" s="36" t="inlineStr">
        <is>
          <t>Applicability</t>
        </is>
      </c>
      <c r="C17" s="41" t="n">
        <v>2</v>
      </c>
      <c r="D17" s="41" t="n">
        <v>3</v>
      </c>
      <c r="E17" s="42" t="inlineStr">
        <is>
          <t>Validation conditions are representative of the intended operating envelope and geometry</t>
        </is>
      </c>
      <c r="F17" s="41" t="inlineStr">
        <is>
          <t>Validation was performed on the same blower geometry, same duct adapters, same fluid (air at ~25°C/1 atm), and overlapping speed and flow conditions (2000 and 3000 rpm; 0.02–0.065 kg/s). The COU spans 2200–3400 rpm; validation at 2000 and 3000 rpm covers most of the range but does not extend to 3400 rpm or explicitly to 2200 rpm. The most throttled COU condition (near 0.02 kg/s) has elevated discrepancy (~6.7%) and known model-form limitations. Efficiency validation is absent. The design-screening (A/B/C ranking) use is supported by relative trend consistency across grids.</t>
        </is>
      </c>
      <c r="G17" s="41" t="inlineStr">
        <is>
          <t>assessed</t>
        </is>
      </c>
    </row>
  </sheetData>
  <mergeCells count="2">
    <mergeCell ref="A2:F2"/>
    <mergeCell ref="A1:F1"/>
  </mergeCells>
  <dataValidations count="2">
    <dataValidation sqref="C5:D17" showDropDown="0" showInputMessage="0" showErrorMessage="0" allowBlank="1" type="list" errorStyle="stop" operator="between">
      <formula1>list_factor_level</formula1>
      <formula2>0</formula2>
    </dataValidation>
    <dataValidation sqref="F5:F17" showDropDown="0" showInputMessage="0" showErrorMessage="0" allowBlank="1" type="list" errorStyle="stop" operator="between">
      <formula1>list_assessed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1"/>
  </sheetPr>
  <dimension ref="A1:E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60" customWidth="1" style="17" min="2" max="2"/>
    <col width="22" customWidth="1" style="17" min="3" max="3"/>
    <col width="25" customWidth="1" style="17" min="4" max="4"/>
    <col width="16" customWidth="1" style="17" min="5" max="5"/>
  </cols>
  <sheetData>
    <row r="1" ht="30" customHeight="1" s="18">
      <c r="A1" s="19" t="inlineStr">
        <is>
          <t>Decision — The credibility judgment</t>
        </is>
      </c>
    </row>
    <row r="2" ht="15" customHeight="1" s="18">
      <c r="A2" s="20" t="inlineStr">
        <is>
          <t>Decision Outcome</t>
        </is>
      </c>
      <c r="B2" s="20" t="inlineStr">
        <is>
          <t>Decision Rationale</t>
        </is>
      </c>
      <c r="C2" s="20" t="inlineStr">
        <is>
          <t>Criteria Set</t>
        </is>
      </c>
      <c r="D2" s="20" t="inlineStr">
        <is>
          <t>Decided By</t>
        </is>
      </c>
      <c r="E2" s="20" t="inlineStr">
        <is>
          <t>Decision Date</t>
        </is>
      </c>
    </row>
    <row r="3" ht="22.35" customHeight="1" s="18">
      <c r="A3" s="39" t="inlineStr">
        <is>
          <t>Accepted</t>
        </is>
      </c>
      <c r="B3" s="39" t="inlineStr">
        <is>
          <t>The CFD model is accepted for its stated context of use — design screening and comparative efficiency ranking of axial blower rotor variants in the 2200–3400 rpm, 0.035–0.065 kg/s envelope. Agreement with bench data is within ±5% over most of the intended operating range, consistent with the composite uncertainty budget (~±3.0–3.4%). Mesh convergence, iterative solver behavior, sensitivity studies, and an experimental comparison collectively provide adequate credibility for concept-stage decisions. Acceptance carries the following conditions recorded here: (1) A conservative correction factor of −4% on Δpt should be applied at flows below 0.035 kg/s; (2) efficiency values must be treated as comparative model outputs only — not absolute — until a torque transducer is installed and bench comparison is made; (3) the model must not be used to certify minimum performance, predict stall onset, or support acoustic assessments without the additional modeling and testing identified in Section 10; (4) if the design envelope shifts to include 3400 rpm or deeper throttling as critical operating points, additional validation data at those conditions is required.</t>
        </is>
      </c>
      <c r="C3" s="22" t="inlineStr">
        <is>
          <t>Auto-filled from Assessment Summary</t>
        </is>
      </c>
      <c r="D3" s="39" t="inlineStr">
        <is>
          <t>L. Andrade (Fluid Systems Group)</t>
        </is>
      </c>
      <c r="E3" s="39" t="inlineStr">
        <is>
          <t>2026-07-30</t>
        </is>
      </c>
    </row>
    <row r="4" ht="15" customHeight="1" s="18">
      <c r="A4" s="24" t="n"/>
      <c r="B4" s="24" t="n"/>
      <c r="C4" s="25">
        <f>'Assessment Summary'!H4</f>
        <v/>
      </c>
      <c r="D4" s="25" t="n"/>
      <c r="E4" s="33" t="n"/>
    </row>
  </sheetData>
  <mergeCells count="1">
    <mergeCell ref="A1:E1"/>
  </mergeCells>
  <dataValidations count="1">
    <dataValidation sqref="A4" showDropDown="0" showInputMessage="0" showErrorMessage="0" allowBlank="0" error="Select Accepted, Not accepted, or Conditional" type="list" errorStyle="stop" operator="between">
      <formula1>list_decision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2026-03-31T17:48:36Z</dcterms:created>
  <dcterms:modified xmlns:dcterms="http://purl.org/dc/terms/" xmlns:xsi="http://www.w3.org/2001/XMLSchema-instance" xsi:type="dcterms:W3CDTF">2026-08-06T05:01:20Z</dcterms:modified>
  <cp:revision>0</cp:revision>
</cp:coreProperties>
</file>