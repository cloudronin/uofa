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Assessment Summary" sheetId="1" state="visible" r:id="rId1"/>
    <sheet xmlns:r="http://schemas.openxmlformats.org/officeDocument/2006/relationships" name="Instructions" sheetId="2" state="visible" r:id="rId2"/>
    <sheet xmlns:r="http://schemas.openxmlformats.org/officeDocument/2006/relationships" name="_Lists" sheetId="3" state="hidden" r:id="rId3"/>
    <sheet xmlns:r="http://schemas.openxmlformats.org/officeDocument/2006/relationships" name="Model &amp; Data" sheetId="4" state="visible" r:id="rId4"/>
    <sheet xmlns:r="http://schemas.openxmlformats.org/officeDocument/2006/relationships" name="Validation Results" sheetId="5" state="visible" r:id="rId5"/>
    <sheet xmlns:r="http://schemas.openxmlformats.org/officeDocument/2006/relationships" name="Credibility Factors" sheetId="6" state="visible" r:id="rId6"/>
    <sheet xmlns:r="http://schemas.openxmlformats.org/officeDocument/2006/relationships" name="Decision" sheetId="7" state="visible" r:id="rId7"/>
  </sheets>
  <definedNames>
    <definedName name="list_assessed" hidden="0" function="0" vbProcedure="0">_Lists!$J$2:$J$4</definedName>
    <definedName name="list_assurance" hidden="0" function="0" vbProcedure="0">_Lists!$D$2:$D$4</definedName>
    <definedName name="list_decision" hidden="0" function="0" vbProcedure="0">_Lists!$K$2:$K$4</definedName>
    <definedName name="list_device_class" hidden="0" function="0" vbProcedure="0">_Lists!$B$2:$B$10</definedName>
    <definedName name="list_entity_type" hidden="0" function="0" vbProcedure="0">_Lists!$F$2:$F$4</definedName>
    <definedName name="list_factor_level" hidden="0" function="0" vbProcedure="0">_Lists!$I$2:$I$5</definedName>
    <definedName name="list_has_uq" hidden="0" function="0" vbProcedure="0">_Lists!$G$2:$G$3</definedName>
    <definedName name="list_mrl" hidden="0" function="0" vbProcedure="0">_Lists!$C$2:$C$6</definedName>
    <definedName name="list_pass_fail" hidden="0" function="0" vbProcedure="0">_Lists!$H$2:$H$5</definedName>
    <definedName name="list_profile" hidden="0" function="0" vbProcedure="0">_Lists!$A$2:$A$3</definedName>
    <definedName name="list_standards" hidden="0" function="0" vbProcedure="0">_Lists!$E$2:$E$5</definedName>
  </definedNames>
  <calcPr calcId="124519" fullCalcOnLoad="1" refMode="A1" iterate="0" iterateCount="100" iterateDelta="0.0001"/>
</workbook>
</file>

<file path=xl/styles.xml><?xml version="1.0" encoding="utf-8"?>
<styleSheet xmlns="http://schemas.openxmlformats.org/spreadsheetml/2006/main">
  <numFmts count="0"/>
  <fonts count="16">
    <font>
      <name val="Calibri"/>
      <charset val="1"/>
      <family val="2"/>
      <color theme="1"/>
      <sz val="11"/>
    </font>
    <font>
      <name val="Arial"/>
      <family val="0"/>
      <sz val="10"/>
    </font>
    <font>
      <name val="Arial"/>
      <family val="0"/>
      <sz val="10"/>
    </font>
    <font>
      <name val="Arial"/>
      <family val="0"/>
      <sz val="10"/>
    </font>
    <font>
      <name val="Arial"/>
      <charset val="1"/>
      <family val="0"/>
      <b val="1"/>
      <color rgb="FF1B4F72"/>
      <sz val="14"/>
    </font>
    <font>
      <name val="Arial"/>
      <charset val="1"/>
      <family val="0"/>
      <b val="1"/>
      <color rgb="FFFFFFFF"/>
      <sz val="10"/>
    </font>
    <font>
      <name val="Arial"/>
      <charset val="1"/>
      <family val="0"/>
      <i val="1"/>
      <color rgb="FF666666"/>
      <sz val="9"/>
    </font>
    <font>
      <name val="Arial"/>
      <charset val="1"/>
      <family val="0"/>
      <sz val="10"/>
    </font>
    <font>
      <name val="Arial"/>
      <charset val="1"/>
      <family val="0"/>
      <b val="1"/>
      <sz val="9"/>
    </font>
    <font>
      <name val="Arial"/>
      <charset val="1"/>
      <family val="0"/>
      <sz val="9"/>
    </font>
    <font>
      <name val="Arial"/>
      <charset val="1"/>
      <family val="0"/>
      <b val="1"/>
      <color rgb="FF1B4F72"/>
      <sz val="10"/>
    </font>
    <font>
      <name val="Cambria"/>
      <charset val="1"/>
      <family val="0"/>
      <b val="1"/>
      <sz val="11"/>
    </font>
    <font>
      <name val="Arial"/>
      <charset val="1"/>
      <family val="0"/>
      <i val="1"/>
      <color rgb="FF555555"/>
      <sz val="10"/>
    </font>
    <font>
      <name val="Arial"/>
      <charset val="1"/>
      <family val="0"/>
      <b val="1"/>
      <sz val="10"/>
    </font>
    <font>
      <name val="Arial"/>
      <b val="1"/>
      <color rgb="00FFFFFF"/>
      <sz val="10"/>
    </font>
    <font>
      <name val="Arial"/>
      <color rgb="00666666"/>
      <sz val="9"/>
    </font>
  </fonts>
  <fills count="10">
    <fill>
      <patternFill/>
    </fill>
    <fill>
      <patternFill patternType="gray125"/>
    </fill>
    <fill>
      <patternFill patternType="solid">
        <fgColor rgb="FF1B4F72"/>
        <bgColor rgb="FF333399"/>
      </patternFill>
    </fill>
    <fill>
      <patternFill patternType="solid">
        <fgColor rgb="FFF2F3F4"/>
        <bgColor rgb="FFFFFFFF"/>
      </patternFill>
    </fill>
    <fill>
      <patternFill patternType="solid">
        <fgColor rgb="FFD6EAF8"/>
        <bgColor rgb="FFD5F5E3"/>
      </patternFill>
    </fill>
    <fill>
      <patternFill patternType="solid">
        <fgColor rgb="FFD5F5E3"/>
        <bgColor rgb="FFD6EAF8"/>
      </patternFill>
    </fill>
    <fill>
      <patternFill patternType="solid">
        <fgColor rgb="FFFFFFFF"/>
        <bgColor rgb="FFF2F3F4"/>
      </patternFill>
    </fill>
    <fill>
      <patternFill patternType="solid">
        <fgColor rgb="001B4F72"/>
      </patternFill>
    </fill>
    <fill>
      <patternFill patternType="solid">
        <fgColor rgb="00F2F3F4"/>
      </patternFill>
    </fill>
    <fill>
      <patternFill patternType="solid">
        <fgColor rgb="00FFEB9C"/>
        <bgColor rgb="00FFEB9C"/>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00CCCCCC"/>
      </left>
      <right style="thin">
        <color rgb="00CCCCCC"/>
      </right>
      <top style="thin">
        <color rgb="00CCCCCC"/>
      </top>
      <bottom style="thin">
        <color rgb="00CCCCCC"/>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6"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6" fillId="3" borderId="1" applyAlignment="1" pivotButton="0" quotePrefix="0" xfId="0">
      <alignment horizontal="general" vertical="top" wrapText="1"/>
    </xf>
    <xf numFmtId="0" fontId="6" fillId="0" borderId="0" pivotButton="0" quotePrefix="0" xfId="0"/>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9" fillId="5"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7" fillId="0" borderId="0" applyAlignment="1" pivotButton="0" quotePrefix="0" xfId="0">
      <alignment horizontal="general" vertical="bottom" wrapText="1"/>
    </xf>
    <xf numFmtId="0" fontId="11" fillId="0" borderId="0" applyAlignment="1" pivotButton="0" quotePrefix="0" xfId="0">
      <alignment horizontal="general" vertical="bottom"/>
    </xf>
    <xf numFmtId="0" fontId="7" fillId="6" borderId="1" applyAlignment="1" pivotButton="0" quotePrefix="0" xfId="0">
      <alignment horizontal="general" vertical="top" wrapText="1"/>
    </xf>
    <xf numFmtId="0" fontId="12" fillId="0" borderId="0" applyAlignment="1" pivotButton="0" quotePrefix="0" xfId="0">
      <alignment horizontal="general" vertical="bottom" wrapText="1"/>
    </xf>
    <xf numFmtId="0" fontId="13" fillId="3" borderId="1" applyAlignment="1" pivotButton="0" quotePrefix="0" xfId="0">
      <alignment horizontal="general" vertical="top" wrapText="1"/>
    </xf>
    <xf numFmtId="0" fontId="7" fillId="3" borderId="1" applyAlignment="1" pivotButton="0" quotePrefix="0" xfId="0">
      <alignment horizontal="general" vertical="top" wrapText="1"/>
    </xf>
    <xf numFmtId="0" fontId="14" fillId="7" borderId="2" applyAlignment="1" pivotButton="0" quotePrefix="0" xfId="0">
      <alignment horizontal="center" vertical="center" wrapText="1"/>
    </xf>
    <xf numFmtId="0" fontId="15" fillId="8" borderId="2" applyAlignment="1" pivotButton="0" quotePrefix="0" xfId="0">
      <alignment vertical="top" wrapText="1"/>
    </xf>
    <xf numFmtId="0" fontId="6" fillId="9" borderId="1" applyAlignment="1" pivotButton="0" quotePrefix="0" xfId="0">
      <alignment horizontal="general" vertical="top" wrapText="1"/>
    </xf>
    <xf numFmtId="0" fontId="6" fillId="9" borderId="0" pivotButton="0" quotePrefix="0" xfId="0"/>
    <xf numFmtId="0" fontId="7" fillId="9" borderId="1" applyAlignment="1" pivotButton="0" quotePrefix="0" xfId="0">
      <alignment horizontal="general" vertical="top" wrapText="1"/>
    </xf>
    <xf numFmtId="0"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2F3F4"/>
      <rgbColor rgb="FFD6EAF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5F5E3"/>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1B4F72"/>
      <rgbColor rgb="FF339966"/>
      <rgbColor rgb="FF003300"/>
      <rgbColor rgb="FF333300"/>
      <rgbColor rgb="FF993300"/>
      <rgbColor rgb="FF993366"/>
      <rgbColor rgb="FF33339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C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L3" authorId="0" shapeId="0">
      <text>
        <t>[Extract] | Confidence: 50%</t>
      </text>
    </comment>
  </commentList>
</comments>
</file>

<file path=xl/comments/comment2.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List>
</comments>
</file>

<file path=xl/comments/comment3.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 ref="E3" authorId="0" shapeId="0">
      <text>
        <t>[Extract] | Confidence: 50%</t>
      </text>
    </comment>
    <comment ref="F3" authorId="0" shapeId="0">
      <text>
        <t>[Extract] | Confidence: 50%</t>
      </text>
    </comment>
    <comment ref="G3" authorId="0" shapeId="0">
      <text>
        <t>[Extract] | Confidence: 50%</t>
      </text>
    </comment>
    <comment ref="H3" authorId="0" shapeId="0">
      <text>
        <t>[Extract] | Confidence: 50%</t>
      </text>
    </comment>
    <comment ref="I3" authorId="0" shapeId="0">
      <text>
        <t>[Extract] | Confidence: 50%</t>
      </text>
    </comment>
    <comment ref="A4" authorId="0" shapeId="0">
      <text>
        <t>[Extract] | Confidence: 50%</t>
      </text>
    </comment>
    <comment ref="B4" authorId="0" shapeId="0">
      <text>
        <t>[Extract] | Confidence: 50%</t>
      </text>
    </comment>
    <comment ref="D4" authorId="0" shapeId="0">
      <text>
        <t>[Extract] | Confidence: 50%</t>
      </text>
    </comment>
    <comment ref="E4" authorId="0" shapeId="0">
      <text>
        <t>[Extract] | Confidence: 50%</t>
      </text>
    </comment>
    <comment ref="F4" authorId="0" shapeId="0">
      <text>
        <t>[Extract] | Confidence: 50%</t>
      </text>
    </comment>
    <comment ref="H4" authorId="0" shapeId="0">
      <text>
        <t>[Extract] | Confidence: 50%</t>
      </text>
    </comment>
    <comment ref="I4" authorId="0" shapeId="0">
      <text>
        <t>[Extract] | Confidence: 50%</t>
      </text>
    </comment>
    <comment ref="A5" authorId="0" shapeId="0">
      <text>
        <t>[Extract] | Confidence: 50%</t>
      </text>
    </comment>
    <comment ref="B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H5" authorId="0" shapeId="0">
      <text>
        <t>[Extract] | Confidence: 50%</t>
      </text>
    </comment>
    <comment ref="I5" authorId="0" shapeId="0">
      <text>
        <t>[Extract] | Confidence: 50%</t>
      </text>
    </comment>
    <comment ref="A6" authorId="0" shapeId="0">
      <text>
        <t>[Extract] | Confidence: 50%</t>
      </text>
    </comment>
    <comment ref="B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H6" authorId="0" shapeId="0">
      <text>
        <t>[Extract] | Confidence: 50%</t>
      </text>
    </comment>
    <comment ref="I6" authorId="0" shapeId="0">
      <text>
        <t>[Extract] | Confidence: 50%</t>
      </text>
    </comment>
    <comment ref="A7" authorId="0" shapeId="0">
      <text>
        <t>[Extract] | Confidence: 50%</t>
      </text>
    </comment>
    <comment ref="B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H7" authorId="0" shapeId="0">
      <text>
        <t>[Extract] | Confidence: 50%</t>
      </text>
    </comment>
    <comment ref="I7" authorId="0" shapeId="0">
      <text>
        <t>[Extract] | Confidence: 50%</t>
      </text>
    </comment>
  </commentList>
</comments>
</file>

<file path=xl/comments/comment4.xml><?xml version="1.0" encoding="utf-8"?>
<comments xmlns="http://schemas.openxmlformats.org/spreadsheetml/2006/main">
  <authors>
    <author>uofa extract</author>
  </authors>
  <commentList>
    <comment ref="C5" authorId="0" shapeId="0">
      <text>
        <t>[Extract] | Confidence: 50%</t>
      </text>
    </comment>
    <comment ref="D5" authorId="0" shapeId="0">
      <text>
        <t>[Extract] | Confidence: 50%</t>
      </text>
    </comment>
    <comment ref="E5" authorId="0" shapeId="0">
      <text>
        <t>[Extract] | Confidence: 50%</t>
      </text>
    </comment>
    <comment ref="F5" authorId="0" shapeId="0">
      <text>
        <t>[Extract] | Confidence: 50%</t>
      </text>
    </comment>
    <comment ref="G5" authorId="0" shapeId="0">
      <text>
        <t>[Extract] | Confidence: 50%</t>
      </text>
    </comment>
    <comment ref="C6" authorId="0" shapeId="0">
      <text>
        <t>[Extract] | Confidence: 50%</t>
      </text>
    </comment>
    <comment ref="D6" authorId="0" shapeId="0">
      <text>
        <t>[Extract] | Confidence: 50%</t>
      </text>
    </comment>
    <comment ref="E6" authorId="0" shapeId="0">
      <text>
        <t>[Extract] | Confidence: 50%</t>
      </text>
    </comment>
    <comment ref="F6" authorId="0" shapeId="0">
      <text>
        <t>[Extract] | Confidence: 50%</t>
      </text>
    </comment>
    <comment ref="G6" authorId="0" shapeId="0">
      <text>
        <t>[Extract] | Confidence: 50%</t>
      </text>
    </comment>
    <comment ref="C7" authorId="0" shapeId="0">
      <text>
        <t>[Extract] | Confidence: 50%</t>
      </text>
    </comment>
    <comment ref="D7" authorId="0" shapeId="0">
      <text>
        <t>[Extract] | Confidence: 50%</t>
      </text>
    </comment>
    <comment ref="E7" authorId="0" shapeId="0">
      <text>
        <t>[Extract] | Confidence: 50%</t>
      </text>
    </comment>
    <comment ref="F7" authorId="0" shapeId="0">
      <text>
        <t>[Extract] | Confidence: 50%</t>
      </text>
    </comment>
    <comment ref="G7" authorId="0" shapeId="0">
      <text>
        <t>[Extract] | Confidence: 50%</t>
      </text>
    </comment>
    <comment ref="C8" authorId="0" shapeId="0">
      <text>
        <t>[Extract] | Confidence: 50%</t>
      </text>
    </comment>
    <comment ref="D8" authorId="0" shapeId="0">
      <text>
        <t>[Extract] | Confidence: 50%</t>
      </text>
    </comment>
    <comment ref="E8" authorId="0" shapeId="0">
      <text>
        <t>[Extract] | Confidence: 50%</t>
      </text>
    </comment>
    <comment ref="F8" authorId="0" shapeId="0">
      <text>
        <t>[Extract] | Confidence: 50%</t>
      </text>
    </comment>
    <comment ref="G8" authorId="0" shapeId="0">
      <text>
        <t>[Extract] | Confidence: 50%</t>
      </text>
    </comment>
    <comment ref="C9" authorId="0" shapeId="0">
      <text>
        <t>[Extract] | Confidence: 50%</t>
      </text>
    </comment>
    <comment ref="D9" authorId="0" shapeId="0">
      <text>
        <t>[Extract] | Confidence: 50%</t>
      </text>
    </comment>
    <comment ref="E9" authorId="0" shapeId="0">
      <text>
        <t>[Extract] | Confidence: 50%</t>
      </text>
    </comment>
    <comment ref="F9" authorId="0" shapeId="0">
      <text>
        <t>[Extract] | Confidence: 50%</t>
      </text>
    </comment>
    <comment ref="G9" authorId="0" shapeId="0">
      <text>
        <t>[Extract] | Confidence: 50%</t>
      </text>
    </comment>
    <comment ref="C10" authorId="0" shapeId="0">
      <text>
        <t>[Extract] | Confidence: 50%</t>
      </text>
    </comment>
    <comment ref="D10" authorId="0" shapeId="0">
      <text>
        <t>[Extract] | Confidence: 50%</t>
      </text>
    </comment>
    <comment ref="E10" authorId="0" shapeId="0">
      <text>
        <t>[Extract] | Confidence: 50%</t>
      </text>
    </comment>
    <comment ref="F10" authorId="0" shapeId="0">
      <text>
        <t>[Extract] | Confidence: 50%</t>
      </text>
    </comment>
    <comment ref="G10" authorId="0" shapeId="0">
      <text>
        <t>[Extract] | Confidence: 50%</t>
      </text>
    </comment>
    <comment ref="C11" authorId="0" shapeId="0">
      <text>
        <t>[Extract] | Confidence: 50%</t>
      </text>
    </comment>
    <comment ref="D11" authorId="0" shapeId="0">
      <text>
        <t>[Extract] | Confidence: 50%</t>
      </text>
    </comment>
    <comment ref="E11" authorId="0" shapeId="0">
      <text>
        <t>[Extract] | Confidence: 50%</t>
      </text>
    </comment>
    <comment ref="F11" authorId="0" shapeId="0">
      <text>
        <t>[Extract] | Confidence: 50%</t>
      </text>
    </comment>
    <comment ref="G11" authorId="0" shapeId="0">
      <text>
        <t>[Extract] | Confidence: 50%</t>
      </text>
    </comment>
    <comment ref="C12" authorId="0" shapeId="0">
      <text>
        <t>[Extract] | Confidence: 50%</t>
      </text>
    </comment>
    <comment ref="D12" authorId="0" shapeId="0">
      <text>
        <t>[Extract] | Confidence: 50%</t>
      </text>
    </comment>
    <comment ref="E12" authorId="0" shapeId="0">
      <text>
        <t>[Extract] | Confidence: 50%</t>
      </text>
    </comment>
    <comment ref="F12" authorId="0" shapeId="0">
      <text>
        <t>[Extract] | Confidence: 50%</t>
      </text>
    </comment>
    <comment ref="G12" authorId="0" shapeId="0">
      <text>
        <t>[Extract] | Confidence: 50%</t>
      </text>
    </comment>
    <comment ref="C13" authorId="0" shapeId="0">
      <text>
        <t>[Extract] | Confidence: 50%</t>
      </text>
    </comment>
    <comment ref="D13" authorId="0" shapeId="0">
      <text>
        <t>[Extract] | Confidence: 50%</t>
      </text>
    </comment>
    <comment ref="E13" authorId="0" shapeId="0">
      <text>
        <t>[Extract] | Confidence: 50%</t>
      </text>
    </comment>
    <comment ref="F13" authorId="0" shapeId="0">
      <text>
        <t>[Extract] | Confidence: 50%</t>
      </text>
    </comment>
    <comment ref="G13" authorId="0" shapeId="0">
      <text>
        <t>[Extract] | Confidence: 50%</t>
      </text>
    </comment>
    <comment ref="C14" authorId="0" shapeId="0">
      <text>
        <t>[Extract] | Confidence: 50%</t>
      </text>
    </comment>
    <comment ref="D14" authorId="0" shapeId="0">
      <text>
        <t>[Extract] | Confidence: 50%</t>
      </text>
    </comment>
    <comment ref="E14" authorId="0" shapeId="0">
      <text>
        <t>[Extract] | Confidence: 50%</t>
      </text>
    </comment>
    <comment ref="F14" authorId="0" shapeId="0">
      <text>
        <t>[Extract] | Confidence: 50%</t>
      </text>
    </comment>
    <comment ref="G14" authorId="0" shapeId="0">
      <text>
        <t>[Extract] | Confidence: 50%</t>
      </text>
    </comment>
    <comment ref="C15" authorId="0" shapeId="0">
      <text>
        <t>[Extract] | Confidence: 50%</t>
      </text>
    </comment>
    <comment ref="D15" authorId="0" shapeId="0">
      <text>
        <t>[Extract] | Confidence: 50%</t>
      </text>
    </comment>
    <comment ref="E15" authorId="0" shapeId="0">
      <text>
        <t>[Extract] | Confidence: 50%</t>
      </text>
    </comment>
    <comment ref="F15" authorId="0" shapeId="0">
      <text>
        <t>[Extract] | Confidence: 50%</t>
      </text>
    </comment>
    <comment ref="G15" authorId="0" shapeId="0">
      <text>
        <t>[Extract] | Confidence: 50%</t>
      </text>
    </comment>
    <comment ref="C16" authorId="0" shapeId="0">
      <text>
        <t>[Extract] | Confidence: 50%</t>
      </text>
    </comment>
    <comment ref="D16" authorId="0" shapeId="0">
      <text>
        <t>[Extract] | Confidence: 50%</t>
      </text>
    </comment>
    <comment ref="E16" authorId="0" shapeId="0">
      <text>
        <t>[Extract] | Confidence: 50%</t>
      </text>
    </comment>
    <comment ref="F16" authorId="0" shapeId="0">
      <text>
        <t>[Extract] | Confidence: 50%</t>
      </text>
    </comment>
    <comment ref="G16" authorId="0" shapeId="0">
      <text>
        <t>[Extract] | Confidence: 50%</t>
      </text>
    </comment>
    <comment ref="C17" authorId="0" shapeId="0">
      <text>
        <t>[Extract] | Confidence: 50%</t>
      </text>
    </comment>
    <comment ref="D17" authorId="0" shapeId="0">
      <text>
        <t>[Extract] | Confidence: 50%</t>
      </text>
    </comment>
    <comment ref="E17" authorId="0" shapeId="0">
      <text>
        <t>[Extract] | Confidence: 50%</t>
      </text>
    </comment>
    <comment ref="F17" authorId="0" shapeId="0">
      <text>
        <t>[Extract] | Confidence: 50%</t>
      </text>
    </comment>
    <comment ref="G17" authorId="0" shapeId="0">
      <text>
        <t>[Extract] | Confidence: 50%</t>
      </text>
    </comment>
  </commentList>
</comments>
</file>

<file path=xl/comments/comment5.xml><?xml version="1.0" encoding="utf-8"?>
<comments xmlns="http://schemas.openxmlformats.org/spreadsheetml/2006/main">
  <authors>
    <author>uofa extract</author>
  </authors>
  <commentList>
    <comment ref="A3" authorId="0" shapeId="0">
      <text>
        <t>[Extract] | Confidence: 50%</t>
      </text>
    </comment>
    <comment ref="B3" authorId="0" shapeId="0">
      <text>
        <t>[Extract] | Confidence: 50%</t>
      </text>
    </comment>
    <comment ref="D3" authorId="0" shapeId="0">
      <text>
        <t>[Extract] | Confidence: 50%</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filterMode="0">
    <outlinePr summaryBelow="1" summaryRight="1"/>
    <pageSetUpPr fitToPage="1"/>
  </sheetPr>
  <dimension ref="A1:L6"/>
  <sheetViews>
    <sheetView showFormulas="0" showGridLines="1" showRowColHeaders="1" showZeros="1" rightToLeft="0" tabSelected="1"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0" customWidth="1" style="17" min="2" max="2"/>
    <col width="40" customWidth="1" style="17" min="3" max="3"/>
    <col width="12" customWidth="1" style="17" min="4" max="4"/>
    <col width="14" customWidth="1" style="17" min="5" max="5"/>
    <col width="16" customWidth="1" style="17" min="6" max="6"/>
    <col width="14" customWidth="1" style="17" min="7" max="7"/>
    <col width="20" customWidth="1" style="17" min="8" max="8"/>
    <col width="22" customWidth="1" style="17" min="9" max="9"/>
    <col width="16" customWidth="1" style="17" min="10" max="10"/>
    <col width="30" customWidth="1" style="17" min="11" max="11"/>
  </cols>
  <sheetData>
    <row r="1" ht="30" customHeight="1" s="18">
      <c r="A1" s="19" t="inlineStr">
        <is>
          <t>Unit of Assurance — Assessment Summary</t>
        </is>
      </c>
    </row>
    <row r="2" ht="23.85" customHeight="1" s="18">
      <c r="A2" s="20" t="inlineStr">
        <is>
          <t>Project Name</t>
        </is>
      </c>
      <c r="B2" s="20" t="inlineStr">
        <is>
          <t>COU Name</t>
        </is>
      </c>
      <c r="C2" s="20" t="inlineStr">
        <is>
          <t>COU Description</t>
        </is>
      </c>
      <c r="D2" s="20" t="inlineStr">
        <is>
          <t>Profile</t>
        </is>
      </c>
      <c r="E2" s="20" t="inlineStr">
        <is>
          <t>Device Class</t>
        </is>
      </c>
      <c r="F2" s="20" t="inlineStr">
        <is>
          <t>Model Risk Level</t>
        </is>
      </c>
      <c r="G2" s="20" t="inlineStr">
        <is>
          <t>Assurance Level</t>
        </is>
      </c>
      <c r="H2" s="20" t="inlineStr">
        <is>
          <t>Standards Reference</t>
        </is>
      </c>
      <c r="I2" s="20" t="inlineStr">
        <is>
          <t>Assessor Name</t>
        </is>
      </c>
      <c r="J2" s="20" t="inlineStr">
        <is>
          <t>Assessment Date</t>
        </is>
      </c>
      <c r="K2" s="20" t="inlineStr">
        <is>
          <t>Source Document</t>
        </is>
      </c>
      <c r="L2" s="21" t="inlineStr">
        <is>
          <t>Has UQ?</t>
        </is>
      </c>
    </row>
    <row r="3" ht="32.8" customHeight="1" s="18">
      <c r="A3" s="39" t="inlineStr">
        <is>
          <t>Alpha-52 Cementless Acetabular Cup Structural Model</t>
        </is>
      </c>
      <c r="B3" s="39" t="inlineStr">
        <is>
          <t>Preclinical micromotion and rim contact screening of porous Ti-6Al-4V acetabular shell for primary hip arthroplasty</t>
        </is>
      </c>
      <c r="C3" s="39" t="inlineStr">
        <is>
          <t>FE model used to predict interface micromotion and local stresses under gait loading to inform go/no-go decision for cadaveric testing and design freeze of the Alpha-52 acetabular cup. Applicable to shell sizes 48–56 mm, primary hips, bone quality T-score −1 to −2, loads up to 1.5 kN/30 N·m, seating misalignment ±2°.</t>
        </is>
      </c>
      <c r="D3" s="39" t="inlineStr">
        <is>
          <t>Complete</t>
        </is>
      </c>
      <c r="E3" s="39" t="inlineStr">
        <is>
          <t>Class III</t>
        </is>
      </c>
      <c r="F3" s="39" t="inlineStr">
        <is>
          <t>MRL 3</t>
        </is>
      </c>
      <c r="G3" s="39" t="inlineStr">
        <is>
          <t>Medium</t>
        </is>
      </c>
      <c r="H3" s="39" t="inlineStr">
        <is>
          <t>ASME-VV40-2018</t>
        </is>
      </c>
      <c r="I3" s="39" t="inlineStr">
        <is>
          <t>R. Patel, Simulation Group</t>
        </is>
      </c>
      <c r="J3" s="22" t="inlineStr">
        <is>
          <t>Date of this assessment (YYYY-MM-DD)</t>
        </is>
      </c>
      <c r="K3" s="22" t="inlineStr">
        <is>
          <t>DOI, report number, or URI</t>
        </is>
      </c>
      <c r="L3" s="40" t="inlineStr">
        <is>
          <t>Yes</t>
        </is>
      </c>
    </row>
    <row r="4" ht="15" customHeight="1" s="18">
      <c r="A4" s="24" t="n"/>
      <c r="B4" s="24" t="n"/>
      <c r="C4" s="25" t="n"/>
      <c r="D4" s="24" t="n"/>
      <c r="E4" s="25" t="n"/>
      <c r="F4" s="25" t="n"/>
      <c r="G4" s="25" t="n"/>
      <c r="H4" s="25" t="n"/>
      <c r="I4" s="24" t="n"/>
      <c r="J4" s="24" t="n"/>
      <c r="K4" s="25" t="n"/>
    </row>
    <row r="6" ht="15" customHeight="1" s="18">
      <c r="A6" s="26" t="inlineStr">
        <is>
          <t>Legend:</t>
        </is>
      </c>
      <c r="C6" s="27" t="inlineStr">
        <is>
          <t>Required (Minimal)</t>
        </is>
      </c>
      <c r="D6" s="28" t="inlineStr">
        <is>
          <t>Required (Complete)</t>
        </is>
      </c>
      <c r="E6" s="29" t="inlineStr">
        <is>
          <t>Optional</t>
        </is>
      </c>
    </row>
  </sheetData>
  <mergeCells count="2">
    <mergeCell ref="A1:K1"/>
    <mergeCell ref="A6:B6"/>
  </mergeCells>
  <dataValidations count="5">
    <dataValidation sqref="D4" showDropDown="0" showInputMessage="0" showErrorMessage="0" allowBlank="0" error="Select Minimal or Complete" type="list" errorStyle="stop" operator="between">
      <formula1>list_profile</formula1>
      <formula2>0</formula2>
    </dataValidation>
    <dataValidation sqref="E4" showDropDown="0" showInputMessage="0" showErrorMessage="0" allowBlank="1" type="list" errorStyle="stop" operator="between">
      <formula1>list_device_class</formula1>
      <formula2>0</formula2>
    </dataValidation>
    <dataValidation sqref="F4" showDropDown="0" showInputMessage="0" showErrorMessage="0" allowBlank="1" type="list" errorStyle="stop" operator="between">
      <formula1>list_mrl</formula1>
      <formula2>0</formula2>
    </dataValidation>
    <dataValidation sqref="G4" showDropDown="0" showInputMessage="0" showErrorMessage="0" allowBlank="1" type="list" errorStyle="stop" operator="between">
      <formula1>list_assurance</formula1>
      <formula2>0</formula2>
    </dataValidation>
    <dataValidation sqref="H4" showDropDown="0" showInputMessage="0" showErrorMessage="0" allowBlank="1" type="list" errorStyle="stop" operator="between">
      <formula1>list_standards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1"/>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7" min="1" max="1"/>
    <col width="90" customWidth="1" style="17" min="2" max="2"/>
  </cols>
  <sheetData>
    <row r="1" ht="30" customHeight="1" s="18">
      <c r="A1" s="19" t="inlineStr">
        <is>
          <t>UofA Excel Template — Instructions</t>
        </is>
      </c>
    </row>
    <row r="3" ht="39.75" customHeight="1" s="18">
      <c r="A3" s="30" t="inlineStr">
        <is>
          <t>What is this?</t>
        </is>
      </c>
      <c r="B3" s="31" t="inlineStr">
        <is>
          <t>This workbook captures a credibility assessment for one Context of Use (COU). Fill it out, then run `uofa import` to convert it to a machine-verifiable evidence package.</t>
        </is>
      </c>
    </row>
    <row r="4" ht="39.75" customHeight="1" s="18">
      <c r="A4" s="30" t="inlineStr">
        <is>
          <t>One workbook = one COU</t>
        </is>
      </c>
      <c r="B4" s="31" t="inlineStr">
        <is>
          <t>If your project has multiple COUs (e.g., different device classes or risk levels for the same model), create a separate workbook for each.</t>
        </is>
      </c>
    </row>
    <row r="5" ht="39.75" customHeight="1" s="18">
      <c r="A5" s="30" t="inlineStr">
        <is>
          <t>Profiles</t>
        </is>
      </c>
      <c r="B5" s="31" t="inlineStr">
        <is>
          <t>Minimal (7 fields, lightweight audit trail) is for early-stage projects or live pipeline capture. Complete (full V&amp;V 40 assessment) is for regulatory submissions.</t>
        </is>
      </c>
    </row>
    <row r="6" ht="39.75" customHeight="1" s="18">
      <c r="A6" s="30" t="inlineStr">
        <is>
          <t>Color coding</t>
        </is>
      </c>
      <c r="B6" s="31" t="inlineStr">
        <is>
          <t>Blue cells = required for Minimal profile. Green cells = required for Complete profile. White cells = optional.</t>
        </is>
      </c>
    </row>
    <row r="7" ht="39.75" customHeight="1" s="18">
      <c r="A7" s="30" t="inlineStr">
        <is>
          <t>Credibility Factors</t>
        </is>
      </c>
      <c r="B7" s="31" t="inlineStr">
        <is>
          <t>Sheet 4 is pre-populated with all 13 V&amp;V 40 factors from Table 5-1. You do not need to assess all 13 — set Assessed = "No" or "N/A" for factors not relevant to your COU.</t>
        </is>
      </c>
    </row>
    <row r="8" ht="39.75" customHeight="1" s="18">
      <c r="A8" s="30" t="inlineStr">
        <is>
          <t>Dropdowns</t>
        </is>
      </c>
      <c r="B8" s="31" t="inlineStr">
        <is>
          <t>Most constrained fields use dropdown lists. If you need a custom value not in the dropdown, type it directly (the validation will warn but not prevent entry).</t>
        </is>
      </c>
    </row>
    <row r="9" ht="39.75" customHeight="1" s="18">
      <c r="A9" s="30" t="inlineStr">
        <is>
          <t>After filling out</t>
        </is>
      </c>
      <c r="B9" s="31" t="inlineStr">
        <is>
          <t>Run: uofa import your-file.xlsx --sign --key keys/your.key --check</t>
        </is>
      </c>
    </row>
    <row r="10" ht="39.75" customHeight="1" s="18">
      <c r="A10" s="30" t="inlineStr">
        <is>
          <t>What the tool checks</t>
        </is>
      </c>
      <c r="B10" s="31" t="inlineStr">
        <is>
          <t>Gate 1 (SHACL): Are all required fields present? Gate 2 (Jena rules): Are there quality gaps (weakeners)? Gate 3 (Integrity): Is the hash and signature valid?</t>
        </is>
      </c>
    </row>
    <row r="11" ht="39.75" customHeight="1" s="18">
      <c r="A11" s="30" t="inlineStr">
        <is>
          <t>More info</t>
        </is>
      </c>
      <c r="B11" s="31" t="inlineStr">
        <is>
          <t>https://crediblesimulation.com | https://github.com/cloudronin/uofa</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row r="1" ht="15" customHeight="1" s="18">
      <c r="A1" s="32" t="inlineStr">
        <is>
          <t>Profile</t>
        </is>
      </c>
      <c r="B1" s="32" t="inlineStr">
        <is>
          <t>Device Class</t>
        </is>
      </c>
      <c r="C1" s="32" t="inlineStr">
        <is>
          <t>Model Risk Level</t>
        </is>
      </c>
      <c r="D1" s="32" t="inlineStr">
        <is>
          <t>Assurance Level</t>
        </is>
      </c>
      <c r="E1" s="32" t="inlineStr">
        <is>
          <t>Standards Reference</t>
        </is>
      </c>
      <c r="F1" s="32" t="inlineStr">
        <is>
          <t>Entity Type</t>
        </is>
      </c>
      <c r="G1" s="32" t="inlineStr">
        <is>
          <t>Has UQ</t>
        </is>
      </c>
      <c r="H1" s="32" t="inlineStr">
        <is>
          <t>Pass/Fail</t>
        </is>
      </c>
      <c r="I1" s="32" t="inlineStr">
        <is>
          <t>Factor Level (1-5)</t>
        </is>
      </c>
      <c r="J1" s="32" t="inlineStr">
        <is>
          <t>Factor Status</t>
        </is>
      </c>
      <c r="K1" s="32" t="inlineStr">
        <is>
          <t>Decision Outcome</t>
        </is>
      </c>
      <c r="L1" s="17" t="inlineStr">
        <is>
          <t>Has UQ (COU-level)</t>
        </is>
      </c>
    </row>
    <row r="2" ht="15" customHeight="1" s="18">
      <c r="A2" s="17" t="inlineStr">
        <is>
          <t>Minimal</t>
        </is>
      </c>
      <c r="B2" s="17" t="inlineStr">
        <is>
          <t>Class I</t>
        </is>
      </c>
      <c r="C2" s="17" t="inlineStr">
        <is>
          <t>MRL 1</t>
        </is>
      </c>
      <c r="D2" s="17" t="inlineStr">
        <is>
          <t>Low</t>
        </is>
      </c>
      <c r="E2" s="17" t="inlineStr">
        <is>
          <t>ASME-VV40-2018</t>
        </is>
      </c>
      <c r="F2" s="17" t="inlineStr">
        <is>
          <t>Requirement</t>
        </is>
      </c>
      <c r="G2" s="17" t="inlineStr">
        <is>
          <t>Yes</t>
        </is>
      </c>
      <c r="H2" s="17" t="inlineStr">
        <is>
          <t>Pass</t>
        </is>
      </c>
      <c r="I2" s="17" t="n">
        <v>1</v>
      </c>
      <c r="J2" s="17" t="inlineStr">
        <is>
          <t>assessed</t>
        </is>
      </c>
      <c r="K2" s="17" t="inlineStr">
        <is>
          <t>Accepted</t>
        </is>
      </c>
      <c r="L2" s="17" t="inlineStr">
        <is>
          <t>Yes</t>
        </is>
      </c>
    </row>
    <row r="3" ht="15" customHeight="1" s="18">
      <c r="A3" s="17" t="inlineStr">
        <is>
          <t>Complete</t>
        </is>
      </c>
      <c r="B3" s="17" t="inlineStr">
        <is>
          <t>Class II</t>
        </is>
      </c>
      <c r="C3" s="17" t="inlineStr">
        <is>
          <t>MRL 2</t>
        </is>
      </c>
      <c r="D3" s="17" t="inlineStr">
        <is>
          <t>Medium</t>
        </is>
      </c>
      <c r="E3" s="17" t="inlineStr">
        <is>
          <t>NASA-STD-7009B</t>
        </is>
      </c>
      <c r="F3" s="17" t="inlineStr">
        <is>
          <t>Model</t>
        </is>
      </c>
      <c r="G3" s="17" t="inlineStr">
        <is>
          <t>No</t>
        </is>
      </c>
      <c r="H3" s="17" t="inlineStr">
        <is>
          <t>Fail</t>
        </is>
      </c>
      <c r="I3" s="17" t="n">
        <v>2</v>
      </c>
      <c r="J3" s="17" t="inlineStr">
        <is>
          <t>not-assessed</t>
        </is>
      </c>
      <c r="K3" s="17" t="inlineStr">
        <is>
          <t>Not accepted</t>
        </is>
      </c>
      <c r="L3" s="17" t="inlineStr">
        <is>
          <t>No</t>
        </is>
      </c>
    </row>
    <row r="4" ht="15" customHeight="1" s="18">
      <c r="B4" s="17" t="inlineStr">
        <is>
          <t>Class III</t>
        </is>
      </c>
      <c r="C4" s="17" t="inlineStr">
        <is>
          <t>MRL 3</t>
        </is>
      </c>
      <c r="D4" s="17" t="inlineStr">
        <is>
          <t>High</t>
        </is>
      </c>
      <c r="E4" s="17" t="inlineStr">
        <is>
          <t>FDA-2023-CMS</t>
        </is>
      </c>
      <c r="F4" s="17" t="inlineStr">
        <is>
          <t>Dataset</t>
        </is>
      </c>
      <c r="H4" s="17" t="inlineStr">
        <is>
          <t>Inconclusive</t>
        </is>
      </c>
      <c r="I4" s="17" t="n">
        <v>3</v>
      </c>
      <c r="J4" s="17" t="inlineStr">
        <is>
          <t>scoped-out</t>
        </is>
      </c>
      <c r="K4" s="17" t="inlineStr">
        <is>
          <t>Conditional</t>
        </is>
      </c>
    </row>
    <row r="5" ht="15" customHeight="1" s="18">
      <c r="B5" s="17" t="inlineStr">
        <is>
          <t>Category A</t>
        </is>
      </c>
      <c r="C5" s="17" t="inlineStr">
        <is>
          <t>MRL 4</t>
        </is>
      </c>
      <c r="E5" s="17" t="inlineStr">
        <is>
          <t>Custom</t>
        </is>
      </c>
      <c r="H5" s="17" t="inlineStr">
        <is>
          <t>N/A</t>
        </is>
      </c>
      <c r="I5" s="17" t="n">
        <v>4</v>
      </c>
      <c r="J5" s="17" t="inlineStr">
        <is>
          <t>not-applicable</t>
        </is>
      </c>
    </row>
    <row r="6" ht="15" customHeight="1" s="18">
      <c r="B6" s="17" t="inlineStr">
        <is>
          <t>Category B</t>
        </is>
      </c>
      <c r="C6" s="17" t="inlineStr">
        <is>
          <t>MRL 5</t>
        </is>
      </c>
      <c r="I6" s="17" t="n">
        <v>5</v>
      </c>
    </row>
    <row r="7" ht="15" customHeight="1" s="18">
      <c r="B7" s="17" t="inlineStr">
        <is>
          <t>Category C</t>
        </is>
      </c>
    </row>
    <row r="8" ht="15" customHeight="1" s="18">
      <c r="B8" s="17" t="inlineStr">
        <is>
          <t>Category D</t>
        </is>
      </c>
    </row>
    <row r="9" ht="15" customHeight="1" s="18">
      <c r="B9" s="17" t="inlineStr">
        <is>
          <t>Category E</t>
        </is>
      </c>
    </row>
    <row r="10" ht="15" customHeight="1" s="18">
      <c r="B10" s="17" t="inlineStr">
        <is>
          <t>Other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5" customWidth="1" style="17" min="2" max="2"/>
    <col width="40" customWidth="1" style="17" min="3" max="3"/>
    <col width="45" customWidth="1" style="17" min="4" max="4"/>
    <col width="12" customWidth="1" style="17" min="5" max="5"/>
    <col width="20" customWidth="1" style="17" min="6" max="6"/>
  </cols>
  <sheetData>
    <row r="1" ht="30" customHeight="1" s="18">
      <c r="A1" s="19" t="inlineStr">
        <is>
          <t>Model &amp; Data — What you modeled and compared against</t>
        </is>
      </c>
    </row>
    <row r="2" ht="15" customHeight="1" s="18">
      <c r="A2" s="20" t="inlineStr">
        <is>
          <t>Entity Type</t>
        </is>
      </c>
      <c r="B2" s="20" t="inlineStr">
        <is>
          <t>Name</t>
        </is>
      </c>
      <c r="C2" s="20" t="inlineStr">
        <is>
          <t>Identifier / URI</t>
        </is>
      </c>
      <c r="D2" s="20" t="inlineStr">
        <is>
          <t>Description</t>
        </is>
      </c>
      <c r="E2" s="20" t="inlineStr">
        <is>
          <t>Version</t>
        </is>
      </c>
      <c r="F2" s="20" t="inlineStr">
        <is>
          <t>Source</t>
        </is>
      </c>
    </row>
    <row r="3" ht="32.8" customHeight="1" s="18">
      <c r="A3" s="39" t="inlineStr">
        <is>
          <t>Requirement</t>
        </is>
      </c>
      <c r="B3" s="39" t="inlineStr">
        <is>
          <t>CQ-AC-052 Micromotion and Contact Screening Requirement</t>
        </is>
      </c>
      <c r="C3" s="22" t="inlineStr">
        <is>
          <t>Stable URI or local ID</t>
        </is>
      </c>
      <c r="D3" s="39" t="inlineStr">
        <is>
          <t>Model predictions of interface micromotion must support go/no-go to cadaveric testing; 95th-percentile micromotion must remain below 50 µm osseointegration threshold; validated micromotion error target ≤10%; local stress screening accuracy ±20% acceptable</t>
        </is>
      </c>
      <c r="E3" s="22" t="inlineStr">
        <is>
          <t>Version number (optional)</t>
        </is>
      </c>
      <c r="F3" s="22" t="inlineStr">
        <is>
          <t>Where this came from (optional)</t>
        </is>
      </c>
    </row>
    <row r="4" ht="15" customHeight="1" s="18">
      <c r="A4" s="41" t="inlineStr">
        <is>
          <t>Model</t>
        </is>
      </c>
      <c r="B4" s="41" t="inlineStr">
        <is>
          <t>Alpha-52 ANSYS Structural FE Model</t>
        </is>
      </c>
      <c r="C4" s="24" t="n"/>
      <c r="D4" s="41" t="inlineStr">
        <is>
          <t>ANSYS Mechanical 2023 R2 TET10 model of 52 mm porous Ti-6Al-4V acetabular shell seated in pelvis segment; linear elastic bone and cup, frictional contact, Augmented Lagrange, large-deflection enabled</t>
        </is>
      </c>
      <c r="E4" s="33" t="n"/>
      <c r="F4" s="33" t="n"/>
    </row>
    <row r="5" ht="15" customHeight="1" s="18">
      <c r="A5" s="41" t="inlineStr">
        <is>
          <t>Dataset</t>
        </is>
      </c>
      <c r="B5" s="41" t="inlineStr">
        <is>
          <t>Foam and Cadaveric Pelvis Validation Dataset</t>
        </is>
      </c>
      <c r="C5" s="24" t="n"/>
      <c r="D5" s="41" t="inlineStr">
        <is>
          <t>Six 20 pcf foam hemipelvis blocks and two cadaveric pelves (T-scores −1.1, −2.0); interface slip measured at six rim points via LVDTs and DIC; contact footprint from Fuji film imprints under 1.5 kN + 30 N·m loading</t>
        </is>
      </c>
      <c r="E5" s="33" t="n"/>
      <c r="F5" s="33" t="n"/>
    </row>
    <row r="6" ht="15" customHeight="1" s="18">
      <c r="A6" s="41" t="inlineStr">
        <is>
          <t>Dataset</t>
        </is>
      </c>
      <c r="B6" s="41" t="inlineStr">
        <is>
          <t>Material and Geometry Input Dataset</t>
        </is>
      </c>
      <c r="C6" s="24" t="n"/>
      <c r="D6" s="41" t="inlineStr">
        <is>
          <t>Ti-6Al-4V properties from ASTM F136; CT-derived Hounsfield-to-modulus mapping per Keyak; seating misalignment tolerances ±2°; initial gap distribution normal(50 µm, σ=30 µm); calibrated friction coefficient μ=0.56 ± 0.08 from push-out tests</t>
        </is>
      </c>
      <c r="E6" s="33" t="n"/>
      <c r="F6" s="33" t="n"/>
    </row>
    <row r="7" ht="15" customHeight="1" s="18">
      <c r="A7" s="24" t="n"/>
      <c r="B7" s="24" t="n"/>
      <c r="C7" s="24" t="n"/>
      <c r="D7" s="33" t="n"/>
      <c r="E7" s="33" t="n"/>
      <c r="F7" s="33" t="n"/>
    </row>
    <row r="8" ht="15" customHeight="1" s="18">
      <c r="A8" s="24" t="n"/>
      <c r="B8" s="24" t="n"/>
      <c r="C8" s="24" t="n"/>
      <c r="D8" s="33" t="n"/>
      <c r="E8" s="33" t="n"/>
      <c r="F8" s="33" t="n"/>
    </row>
    <row r="9" ht="15" customHeight="1" s="18">
      <c r="A9" s="24" t="n"/>
      <c r="B9" s="24" t="n"/>
      <c r="C9" s="24" t="n"/>
      <c r="D9" s="33" t="n"/>
      <c r="E9" s="33" t="n"/>
      <c r="F9" s="33" t="n"/>
    </row>
    <row r="10" ht="15" customHeight="1" s="18">
      <c r="A10" s="24" t="n"/>
      <c r="B10" s="24" t="n"/>
      <c r="C10" s="24" t="n"/>
      <c r="D10" s="33" t="n"/>
      <c r="E10" s="33" t="n"/>
      <c r="F10" s="33" t="n"/>
    </row>
    <row r="11" ht="15" customHeight="1" s="18">
      <c r="A11" s="24" t="n"/>
      <c r="B11" s="24" t="n"/>
      <c r="C11" s="24" t="n"/>
      <c r="D11" s="33" t="n"/>
      <c r="E11" s="33" t="n"/>
      <c r="F11" s="33" t="n"/>
    </row>
    <row r="12" ht="15" customHeight="1" s="18">
      <c r="A12" s="24" t="n"/>
      <c r="B12" s="24" t="n"/>
      <c r="C12" s="24" t="n"/>
      <c r="D12" s="33" t="n"/>
      <c r="E12" s="33" t="n"/>
      <c r="F12" s="33" t="n"/>
    </row>
    <row r="13" ht="15" customHeight="1" s="18">
      <c r="A13" s="24" t="n"/>
      <c r="B13" s="24" t="n"/>
      <c r="C13" s="24" t="n"/>
      <c r="D13" s="33" t="n"/>
      <c r="E13" s="33" t="n"/>
      <c r="F13" s="33" t="n"/>
    </row>
  </sheetData>
  <mergeCells count="1">
    <mergeCell ref="A1:F1"/>
  </mergeCells>
  <dataValidations count="1">
    <dataValidation sqref="A4:A13" showDropDown="0" showInputMessage="0" showErrorMessage="0" allowBlank="1" type="list" errorStyle="stop" operator="between">
      <formula1>list_entity_type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I13"/>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5" customWidth="1" style="17" min="1" max="1"/>
    <col width="35" customWidth="1" style="17" min="2" max="2"/>
    <col width="45" customWidth="1" style="17" min="3" max="3"/>
    <col width="35" customWidth="1" style="17" min="4" max="4"/>
    <col width="10" customWidth="1" style="17" min="5" max="5"/>
    <col width="30" customWidth="1" style="17" min="6" max="6"/>
    <col width="18" customWidth="1" style="17" min="7" max="7"/>
    <col width="14" customWidth="1" style="17" min="8" max="8"/>
  </cols>
  <sheetData>
    <row r="1" ht="30" customHeight="1" s="18">
      <c r="A1" s="19" t="inlineStr">
        <is>
          <t>Validation Results — What you found when you tested the model</t>
        </is>
      </c>
    </row>
    <row r="2" ht="15" customHeight="1" s="18">
      <c r="A2" s="20" t="inlineStr">
        <is>
          <t>Result Name</t>
        </is>
      </c>
      <c r="B2" s="20" t="inlineStr">
        <is>
          <t>Identifier / URI</t>
        </is>
      </c>
      <c r="C2" s="20" t="inlineStr">
        <is>
          <t>Description</t>
        </is>
      </c>
      <c r="D2" s="20" t="inlineStr">
        <is>
          <t>Compares To</t>
        </is>
      </c>
      <c r="E2" s="20" t="inlineStr">
        <is>
          <t>Has UQ?</t>
        </is>
      </c>
      <c r="F2" s="20" t="inlineStr">
        <is>
          <t>UQ Method</t>
        </is>
      </c>
      <c r="G2" s="20" t="inlineStr">
        <is>
          <t>Metric Value</t>
        </is>
      </c>
      <c r="H2" s="20" t="inlineStr">
        <is>
          <t>Pass / Fail</t>
        </is>
      </c>
    </row>
    <row r="3" ht="32.8" customHeight="1" s="18">
      <c r="A3" s="39" t="inlineStr">
        <is>
          <t>Interface Micromotion Comparison — Foam and Cadaveric Specimens</t>
        </is>
      </c>
      <c r="B3" s="39" t="inlineStr">
        <is>
          <t>ValidationResult</t>
        </is>
      </c>
      <c r="C3" s="22" t="inlineStr">
        <is>
          <t>What was done, what was found</t>
        </is>
      </c>
      <c r="D3" s="39" t="inlineStr">
        <is>
          <t>Model-predicted interface slip compared against LVDT and DIC measurements at six rim points across six foam and two cadaveric hemipelvis specimens under 1.5 kN compressive + 30 N·m torque loading</t>
        </is>
      </c>
      <c r="E3" s="39" t="inlineStr">
        <is>
          <t>Experimental LVDT/DIC slip measurements</t>
        </is>
      </c>
      <c r="F3" s="39" t="inlineStr">
        <is>
          <t>Yes</t>
        </is>
      </c>
      <c r="G3" s="39" t="inlineStr">
        <is>
          <t>Latin hypercube sampling (N=300) over μ, bone E scaling, seating angle, initial gap; Sobol first-order sensitivity indices reported</t>
        </is>
      </c>
      <c r="H3" s="39" t="inlineStr">
        <is>
          <t>Regression slope 0.95, R²=0.93, MAPE 8% overall (9% cadaveric only); 95th-percentile micromotion 42 µm &lt; 50 µm threshold</t>
        </is>
      </c>
      <c r="I3" s="42" t="inlineStr">
        <is>
          <t>Pass</t>
        </is>
      </c>
    </row>
    <row r="4" ht="15" customHeight="1" s="18">
      <c r="A4" s="41" t="inlineStr">
        <is>
          <t>Contact Footprint Area and Centroid Comparison</t>
        </is>
      </c>
      <c r="B4" s="41" t="inlineStr">
        <is>
          <t>ValidationResult</t>
        </is>
      </c>
      <c r="C4" s="33" t="n"/>
      <c r="D4" s="41" t="inlineStr">
        <is>
          <t>Model-predicted contact area and centroid location compared against Fuji film pressure imprints from experimental specimens</t>
        </is>
      </c>
      <c r="E4" s="41" t="inlineStr">
        <is>
          <t>Fuji film contact imprints</t>
        </is>
      </c>
      <c r="F4" s="41" t="inlineStr">
        <is>
          <t>No</t>
        </is>
      </c>
      <c r="G4" s="33" t="n"/>
      <c r="H4" s="41" t="inlineStr">
        <is>
          <t>Predicted contact area within 12% of Fuji film; centroid locations within 3 mm</t>
        </is>
      </c>
      <c r="I4" s="42" t="inlineStr">
        <is>
          <t>Pass</t>
        </is>
      </c>
    </row>
    <row r="5" ht="15" customHeight="1" s="18">
      <c r="A5" s="41" t="inlineStr">
        <is>
          <t>Mesh Convergence and GCI Study</t>
        </is>
      </c>
      <c r="B5" s="41" t="inlineStr">
        <is>
          <t>ValidationResult</t>
        </is>
      </c>
      <c r="C5" s="33" t="n"/>
      <c r="D5" s="41" t="inlineStr">
        <is>
          <t>Three-mesh convergence study (0.9M, 1.3M, 1.8M elements) with Richardson extrapolation; asymptotic order and GCI computed for peak interface slip and peak von Mises stress</t>
        </is>
      </c>
      <c r="E5" s="41" t="inlineStr">
        <is>
          <t>Richardson extrapolation / asymptotic solution</t>
        </is>
      </c>
      <c r="F5" s="41" t="inlineStr">
        <is>
          <t>No</t>
        </is>
      </c>
      <c r="G5" s="41" t="inlineStr">
        <is>
          <t>Grid Convergence Index (GCI)</t>
        </is>
      </c>
      <c r="H5" s="41" t="inlineStr">
        <is>
          <t>Asymptotic slope ~2.1; GCI ~2% for peak interface slip; GCI ~5% for peak von Mises in cup</t>
        </is>
      </c>
      <c r="I5" s="42" t="inlineStr">
        <is>
          <t>Pass</t>
        </is>
      </c>
    </row>
    <row r="6" ht="15" customHeight="1" s="18">
      <c r="A6" s="41" t="inlineStr">
        <is>
          <t>Code Verification — Analytical Benchmark Problems</t>
        </is>
      </c>
      <c r="B6" s="41" t="inlineStr">
        <is>
          <t>ValidationResult</t>
        </is>
      </c>
      <c r="C6" s="33" t="n"/>
      <c r="D6" s="41" t="inlineStr">
        <is>
          <t>ANSYS Mechanical verified against cantilever beam and Hertz contact analytical solutions to confirm solver correctness</t>
        </is>
      </c>
      <c r="E6" s="41" t="inlineStr">
        <is>
          <t>Analytical solutions (cantilever deflection, Hertz contact pressure)</t>
        </is>
      </c>
      <c r="F6" s="41" t="inlineStr">
        <is>
          <t>No</t>
        </is>
      </c>
      <c r="G6" s="33" t="n"/>
      <c r="H6" s="41" t="inlineStr">
        <is>
          <t>Displacement and pressure reproduced within 0.7–1.3%</t>
        </is>
      </c>
      <c r="I6" s="42" t="inlineStr">
        <is>
          <t>Pass</t>
        </is>
      </c>
    </row>
    <row r="7" ht="15" customHeight="1" s="18">
      <c r="A7" s="41" t="inlineStr">
        <is>
          <t>Friction Coefficient Calibration — Push-Out Tests</t>
        </is>
      </c>
      <c r="B7" s="41" t="inlineStr">
        <is>
          <t>ValidationResult</t>
        </is>
      </c>
      <c r="C7" s="33" t="n"/>
      <c r="D7" s="41" t="inlineStr">
        <is>
          <t>Effective friction coefficient μ calibrated on three independent push-out tests; holdout specimens not used for calibration; residuals checked for bias</t>
        </is>
      </c>
      <c r="E7" s="41" t="inlineStr">
        <is>
          <t>Push-out test measurements (calibration set)</t>
        </is>
      </c>
      <c r="F7" s="41" t="inlineStr">
        <is>
          <t>Yes</t>
        </is>
      </c>
      <c r="G7" s="41" t="inlineStr">
        <is>
          <t>Parameter estimation with residual bias check</t>
        </is>
      </c>
      <c r="H7" s="41" t="inlineStr">
        <is>
          <t>Calibrated μ = 0.56 ± 0.08; residuals unbiased</t>
        </is>
      </c>
      <c r="I7" s="42" t="inlineStr">
        <is>
          <t>Pass</t>
        </is>
      </c>
    </row>
    <row r="8" ht="15" customHeight="1" s="18">
      <c r="A8" s="24" t="n"/>
      <c r="B8" s="24" t="n"/>
      <c r="C8" s="33" t="n"/>
      <c r="D8" s="33" t="n"/>
      <c r="E8" s="25" t="n"/>
      <c r="F8" s="33" t="n"/>
      <c r="G8" s="33" t="n"/>
      <c r="H8" s="33" t="n"/>
    </row>
    <row r="9" ht="15" customHeight="1" s="18">
      <c r="A9" s="24" t="n"/>
      <c r="B9" s="24" t="n"/>
      <c r="C9" s="33" t="n"/>
      <c r="D9" s="33" t="n"/>
      <c r="E9" s="25" t="n"/>
      <c r="F9" s="33" t="n"/>
      <c r="G9" s="33" t="n"/>
      <c r="H9" s="33" t="n"/>
    </row>
    <row r="10" ht="15" customHeight="1" s="18">
      <c r="A10" s="24" t="n"/>
      <c r="B10" s="24" t="n"/>
      <c r="C10" s="33" t="n"/>
      <c r="D10" s="33" t="n"/>
      <c r="E10" s="25" t="n"/>
      <c r="F10" s="33" t="n"/>
      <c r="G10" s="33" t="n"/>
      <c r="H10" s="33" t="n"/>
    </row>
    <row r="11" ht="15" customHeight="1" s="18">
      <c r="A11" s="24" t="n"/>
      <c r="B11" s="24" t="n"/>
      <c r="C11" s="33" t="n"/>
      <c r="D11" s="33" t="n"/>
      <c r="E11" s="25" t="n"/>
      <c r="F11" s="33" t="n"/>
      <c r="G11" s="33" t="n"/>
      <c r="H11" s="33" t="n"/>
    </row>
    <row r="12" ht="15" customHeight="1" s="18">
      <c r="A12" s="24" t="n"/>
      <c r="B12" s="24" t="n"/>
      <c r="C12" s="33" t="n"/>
      <c r="D12" s="33" t="n"/>
      <c r="E12" s="25" t="n"/>
      <c r="F12" s="33" t="n"/>
      <c r="G12" s="33" t="n"/>
      <c r="H12" s="33" t="n"/>
    </row>
    <row r="13" ht="15" customHeight="1" s="18">
      <c r="A13" s="24" t="n"/>
      <c r="B13" s="24" t="n"/>
      <c r="C13" s="33" t="n"/>
      <c r="D13" s="33" t="n"/>
      <c r="E13" s="25" t="n"/>
      <c r="F13" s="33" t="n"/>
      <c r="G13" s="33" t="n"/>
      <c r="H13" s="33" t="n"/>
    </row>
  </sheetData>
  <mergeCells count="1">
    <mergeCell ref="A1:H1"/>
  </mergeCells>
  <dataValidations count="2">
    <dataValidation sqref="E4:E13" showDropDown="0" showInputMessage="0" showErrorMessage="0" allowBlank="1" type="list" errorStyle="stop" operator="between">
      <formula1>list_has_uq</formula1>
      <formula2>0</formula2>
    </dataValidation>
    <dataValidation sqref="H4:H13" showDropDown="0" showInputMessage="0" showErrorMessage="0" allowBlank="1" type="list" errorStyle="stop" operator="between">
      <formula1>list_pass_fail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H17"/>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25" customWidth="1" style="17" min="2" max="2"/>
    <col width="16" customWidth="1" style="17" min="3" max="4"/>
    <col width="40" customWidth="1" style="17" min="5" max="5"/>
    <col width="12" customWidth="1" style="17" min="6" max="6"/>
    <col width="22" customWidth="1" style="18" min="8" max="8"/>
  </cols>
  <sheetData>
    <row r="1" ht="30" customHeight="1" s="18">
      <c r="A1" s="19" t="inlineStr">
        <is>
          <t>Credibility Factors — V&amp;V 40 Table 5-1 Assessment</t>
        </is>
      </c>
    </row>
    <row r="2" ht="30" customHeight="1" s="18">
      <c r="A2" s="34" t="inlineStr">
        <is>
          <t>Complete profile only. Assess each relevant factor: set Required Level (goal given model risk) and Achieved Level (what evidence supports).</t>
        </is>
      </c>
    </row>
    <row r="3" ht="15" customHeight="1" s="18">
      <c r="A3" s="20" t="inlineStr">
        <is>
          <t>Factor Type</t>
        </is>
      </c>
      <c r="B3" s="20" t="inlineStr">
        <is>
          <t>Category</t>
        </is>
      </c>
      <c r="C3" s="20" t="inlineStr">
        <is>
          <t>Required Level</t>
        </is>
      </c>
      <c r="D3" s="20" t="inlineStr">
        <is>
          <t>Achieved Level</t>
        </is>
      </c>
      <c r="E3" s="21" t="inlineStr">
        <is>
          <t>Acceptance Criteria</t>
        </is>
      </c>
      <c r="F3" s="20" t="inlineStr">
        <is>
          <t>Rationale</t>
        </is>
      </c>
      <c r="G3" s="20" t="inlineStr">
        <is>
          <t>Factor Status</t>
        </is>
      </c>
      <c r="H3" s="37" t="inlineStr">
        <is>
          <t>Linked Evidence</t>
        </is>
      </c>
    </row>
    <row r="4" ht="22.35" customHeight="1" s="18">
      <c r="A4" s="22" t="inlineStr">
        <is>
          <t>V&amp;V 40 factor (pre-filled, do not edit)</t>
        </is>
      </c>
      <c r="B4" s="22" t="inlineStr">
        <is>
          <t>Grouping (pre-filled)</t>
        </is>
      </c>
      <c r="C4" s="22" t="inlineStr">
        <is>
          <t>Credibility goal for this factor (1-5)</t>
        </is>
      </c>
      <c r="D4" s="22" t="inlineStr">
        <is>
          <t>Level achieved by evidence (1-5)</t>
        </is>
      </c>
      <c r="E4" s="23" t="inlineStr">
        <is>
          <t>Goal and basis for the required level (from V&amp;V 40 Tables 3-4)</t>
        </is>
      </c>
      <c r="F4" s="22" t="inlineStr">
        <is>
          <t>Brief justification (esp. if achieved &lt; required)</t>
        </is>
      </c>
      <c r="G4" s="22" t="inlineStr">
        <is>
          <t>assessed / not-assessed / scoped-out / not-applicable</t>
        </is>
      </c>
      <c r="H4" s="38" t="inlineStr">
        <is>
          <t>URI of validation result that supports this factor (optional)</t>
        </is>
      </c>
    </row>
    <row r="5" ht="15" customHeight="1" s="18">
      <c r="A5" s="35" t="inlineStr">
        <is>
          <t>Software quality assurance</t>
        </is>
      </c>
      <c r="B5" s="36" t="inlineStr">
        <is>
          <t>Verification — Code</t>
        </is>
      </c>
      <c r="C5" s="41" t="n">
        <v>3</v>
      </c>
      <c r="D5" s="41" t="n">
        <v>4</v>
      </c>
      <c r="E5" s="42" t="inlineStr">
        <is>
          <t>Commercial solver with documented QA; in-house scripts with version control and testing</t>
        </is>
      </c>
      <c r="F5" s="41" t="inlineStr">
        <is>
          <t>ANSYS Mechanical 2023 R2 is a commercial solver with vendor patch tests passed. In-house Python preprocessors have 86% unit test coverage, CI on Jenkins, all runs under Git tag sim-hip-cup@v1.7.2, seeds fixed, workstation specs logged. Vendor patch tests confirmed. Strong version control and traceability throughout.</t>
        </is>
      </c>
      <c r="G5" s="41" t="inlineStr">
        <is>
          <t>assessed</t>
        </is>
      </c>
    </row>
    <row r="6" ht="15" customHeight="1" s="18">
      <c r="A6" s="36" t="inlineStr">
        <is>
          <t>Numerical code verification</t>
        </is>
      </c>
      <c r="B6" s="36" t="inlineStr">
        <is>
          <t>Verification — Code</t>
        </is>
      </c>
      <c r="C6" s="41" t="n">
        <v>3</v>
      </c>
      <c r="D6" s="41" t="n">
        <v>4</v>
      </c>
      <c r="E6" s="42" t="inlineStr">
        <is>
          <t>Comparison to analytical solutions within acceptable tolerance for relevant physics</t>
        </is>
      </c>
      <c r="F6" s="41" t="inlineStr">
        <is>
          <t>Cantilever beam and Hertz contact benchmark problems solved; displacement and pressure match analytical solutions within 0.7–1.3%. Vendor patch tests also passed. These cover the dominant physics (structural deformation and contact pressure) relevant to the COU.</t>
        </is>
      </c>
      <c r="G6" s="41" t="inlineStr">
        <is>
          <t>assessed</t>
        </is>
      </c>
    </row>
    <row r="7" ht="15" customHeight="1" s="18">
      <c r="A7" s="35" t="inlineStr">
        <is>
          <t>Discretization error</t>
        </is>
      </c>
      <c r="B7" s="36" t="inlineStr">
        <is>
          <t>Verification — Calculation</t>
        </is>
      </c>
      <c r="C7" s="41" t="n">
        <v>3</v>
      </c>
      <c r="D7" s="41" t="n">
        <v>4</v>
      </c>
      <c r="E7" s="42" t="inlineStr">
        <is>
          <t>GCI &lt; 5% for primary QoI (interface slip); mesh refinement study with at least three meshes</t>
        </is>
      </c>
      <c r="F7" s="41" t="inlineStr">
        <is>
          <t>Three-mesh study (0.9M/1.3M/1.8M elements); asymptotic convergence slope ~2.1 (near theoretical); GCI ~2% for peak interface slip (primary QoI) and ~5% for peak von Mises. Final production runs use finest mesh (1.8M elements). Contact penalty sensitivity also checked (±25% causes &lt;3% change in micromotion).</t>
        </is>
      </c>
      <c r="G7" s="41" t="inlineStr">
        <is>
          <t>assessed</t>
        </is>
      </c>
    </row>
    <row r="8" ht="15" customHeight="1" s="18">
      <c r="A8" s="36" t="inlineStr">
        <is>
          <t>Numerical solver error</t>
        </is>
      </c>
      <c r="B8" s="36" t="inlineStr">
        <is>
          <t>Verification — Calculation</t>
        </is>
      </c>
      <c r="C8" s="41" t="n">
        <v>3</v>
      </c>
      <c r="D8" s="41" t="n">
        <v>4</v>
      </c>
      <c r="E8" s="42" t="inlineStr">
        <is>
          <t>Demonstrated iterative convergence to tight tolerances; global equilibrium checks</t>
        </is>
      </c>
      <c r="F8" s="41" t="inlineStr">
        <is>
          <t>Newton–Raphson with line search; force residual tolerance 1e-6; contact penetration limit 3 µm; last two equilibrium iterations show strain energy change &lt;0.1%; global reactions match applied loads within 0.5%. Automatic stabilization disabled to avoid artificial energy dissipation. Convergence well-documented.</t>
        </is>
      </c>
      <c r="G8" s="41" t="inlineStr">
        <is>
          <t>assessed</t>
        </is>
      </c>
    </row>
    <row r="9" ht="15" customHeight="1" s="18">
      <c r="A9" s="36" t="inlineStr">
        <is>
          <t>Use error</t>
        </is>
      </c>
      <c r="B9" s="36" t="inlineStr">
        <is>
          <t>Verification — Calculation</t>
        </is>
      </c>
      <c r="C9" s="41" t="n">
        <v>3</v>
      </c>
      <c r="D9" s="41" t="n">
        <v>4</v>
      </c>
      <c r="E9" s="42" t="inlineStr">
        <is>
          <t>Independent review of model setup; boundary condition verification; mesh quality checks documented</t>
        </is>
      </c>
      <c r="F9" s="41" t="inlineStr">
        <is>
          <t>External SME (L. Gomez, OrthoSim LLC) performed red-team readout; two actions identified and closed (contact stabilization off; reaction balance check added). Requirements-to-model-to-test traceability matrix in Confluence (CQ-AC-052). Input decks, meshes, scripts archived and hash-checked. Team training on ANSYS contact best practices with signed checklist. Post-processing sanity checks (no stress oscillations, path integration spot-checks within 4%).</t>
        </is>
      </c>
      <c r="G9" s="41" t="inlineStr">
        <is>
          <t>assessed</t>
        </is>
      </c>
    </row>
    <row r="10" ht="15" customHeight="1" s="18">
      <c r="A10" s="35" t="inlineStr">
        <is>
          <t>Model form</t>
        </is>
      </c>
      <c r="B10" s="36" t="inlineStr">
        <is>
          <t>Validation — Model</t>
        </is>
      </c>
      <c r="C10" s="41" t="n">
        <v>3</v>
      </c>
      <c r="D10" s="41" t="n">
        <v>3</v>
      </c>
      <c r="E10" s="42" t="inlineStr">
        <is>
          <t>Physics assumptions justified with literature support; known limitations documented</t>
        </is>
      </c>
      <c r="F10" s="41" t="inlineStr">
        <is>
          <t>Linear elastic assumption for bone and cup justified by literature on elastic micromotion thresholds for osseointegration (&lt;50 µm). Frictional sliding modeled with Augmented Lagrange; large-deflection enabled. Porous coating approximated by effective μ and measured compliance rather than geometric resolution — limitation acknowledged. No remodeling or press-fit plasticity — documented as a known limitation. Assumptions are clearly stated and bounded.</t>
        </is>
      </c>
      <c r="G10" s="41" t="inlineStr">
        <is>
          <t>assessed</t>
        </is>
      </c>
    </row>
    <row r="11" ht="15" customHeight="1" s="18">
      <c r="A11" s="36" t="inlineStr">
        <is>
          <t>Model inputs</t>
        </is>
      </c>
      <c r="B11" s="36" t="inlineStr">
        <is>
          <t>Validation — Model</t>
        </is>
      </c>
      <c r="C11" s="41" t="n">
        <v>3</v>
      </c>
      <c r="D11" s="41" t="n">
        <v>4</v>
      </c>
      <c r="E11" s="42" t="inlineStr">
        <is>
          <t>Material properties from standards or testing; geometry from physical measurements; input uncertainties characterized</t>
        </is>
      </c>
      <c r="F11" s="41" t="inlineStr">
        <is>
          <t>Ti-6Al-4V E=110 GPa, ν=0.34 from ASTM F136. Bone E(ρ) from Keyak CT-to-modulus mapping with density cutoffs. Seating misalignment ±2° from build/jig tolerances. Initial gap distribution normal(50 µm, σ=30 µm). Friction coefficient calibrated from push-out tests: μ=0.56 ± 0.08. Input uncertainty distributions defined for LHS propagation. Pedigree well-documented for all primary inputs.</t>
        </is>
      </c>
      <c r="G11" s="41" t="inlineStr">
        <is>
          <t>assessed</t>
        </is>
      </c>
    </row>
    <row r="12" ht="15" customHeight="1" s="18">
      <c r="A12" s="35" t="inlineStr">
        <is>
          <t>Test samples</t>
        </is>
      </c>
      <c r="B12" s="36" t="inlineStr">
        <is>
          <t>Validation — Comparator</t>
        </is>
      </c>
      <c r="C12" s="41" t="n">
        <v>3</v>
      </c>
      <c r="D12" s="41" t="n">
        <v>3</v>
      </c>
      <c r="E12" s="42" t="inlineStr">
        <is>
          <t>Adequate number of specimens including clinically relevant surrogates; sample characteristics documented</t>
        </is>
      </c>
      <c r="F12" s="41" t="inlineStr">
        <is>
          <t>Six foam hemipelvis blocks (20 pcf) and two cadaveric pelves (T-scores −1.1, −2.0) used. Foam surrogates provide controlled repeatability; cadaveric specimens provide biological relevance. T-scores documented. Load paths verified by instrumented potting. Sample size is modest (especially two cadaveric specimens), limiting statistical power, but appropriate for screening-level decision support alongside bench data.</t>
        </is>
      </c>
      <c r="G12" s="41" t="inlineStr">
        <is>
          <t>assessed</t>
        </is>
      </c>
    </row>
    <row r="13" ht="15" customHeight="1" s="18">
      <c r="A13" s="36" t="inlineStr">
        <is>
          <t>Test conditions</t>
        </is>
      </c>
      <c r="B13" s="36" t="inlineStr">
        <is>
          <t>Validation — Comparator</t>
        </is>
      </c>
      <c r="C13" s="41" t="n">
        <v>3</v>
      </c>
      <c r="D13" s="41" t="n">
        <v>3</v>
      </c>
      <c r="E13" s="42" t="inlineStr">
        <is>
          <t>Controlled loading conditions; calibrated instrumentation; test conditions documented</t>
        </is>
      </c>
      <c r="F13" s="41" t="inlineStr">
        <is>
          <t>1.5 kN compressive + 30 N·m torque applied through hip simulator representing worst-case stance phase. Displacement measured via calibrated LVDTs and DIC at six rim points. Fixtures designed to mimic boundary stiffness; load paths verified by instrumented potting. Measurement system described but explicit instrument calibration certificates and formal measurement uncertainty quantification not detailed in the report.</t>
        </is>
      </c>
      <c r="G13" s="41" t="inlineStr">
        <is>
          <t>assessed</t>
        </is>
      </c>
    </row>
    <row r="14" ht="15" customHeight="1" s="18">
      <c r="A14" s="35" t="inlineStr">
        <is>
          <t>Equivalency of input parameters</t>
        </is>
      </c>
      <c r="B14" s="36" t="inlineStr">
        <is>
          <t>Validation — Assessment</t>
        </is>
      </c>
      <c r="C14" s="41" t="n">
        <v>3</v>
      </c>
      <c r="D14" s="41" t="n">
        <v>3</v>
      </c>
      <c r="E14" s="42" t="inlineStr">
        <is>
          <t>Model boundary conditions match experimental conditions; parameter matching documented</t>
        </is>
      </c>
      <c r="F14" s="41" t="inlineStr">
        <is>
          <t>Loading (1.5 kN + 30 N·m), geometry (52 mm shell), friction coefficient, and bone properties mapped from the same specimen characteristics used in tests. Seating misalignment range ±2° consistent with experimental fixture. Calibrated μ reused for validation articles without retuning, providing clean separation. Initial gap distribution matched to physical setup. Some uncertainty in exact cadaveric bone modulus distribution mapping noted implicitly but not fully quantified in the matching.</t>
        </is>
      </c>
      <c r="G14" s="41" t="inlineStr">
        <is>
          <t>assessed</t>
        </is>
      </c>
    </row>
    <row r="15" ht="15" customHeight="1" s="18">
      <c r="A15" s="36" t="inlineStr">
        <is>
          <t>Output comparison</t>
        </is>
      </c>
      <c r="B15" s="36" t="inlineStr">
        <is>
          <t>Validation — Assessment</t>
        </is>
      </c>
      <c r="C15" s="41" t="n">
        <v>3</v>
      </c>
      <c r="D15" s="41" t="n">
        <v>4</v>
      </c>
      <c r="E15" s="42" t="inlineStr">
        <is>
          <t>Quantitative error metrics for primary QoI; multiple comparison points; uncertainty bands reported</t>
        </is>
      </c>
      <c r="F15" s="41" t="inlineStr">
        <is>
          <t>Interface slip: regression slope 0.95, R²=0.93, MAPE 8% overall (9% cadaveric). Contact footprint area within 12%; centroid within 3 mm. Uncertainty propagation (LHS N=300): micromotion 28 ± 7 µm at critical node, 95th percentile 42 µm vs. 50 µm threshold. Sobol sensitivity indices quantify input drivers. Multiple output types compared (slip, contact area, centroid). Calibration/validation separation maintained. Comprehensive quantitative assessment.</t>
        </is>
      </c>
      <c r="G15" s="41" t="inlineStr">
        <is>
          <t>assessed</t>
        </is>
      </c>
    </row>
    <row r="16" ht="15" customHeight="1" s="18">
      <c r="A16" s="35" t="inlineStr">
        <is>
          <t>Relevance of the quantities of interest</t>
        </is>
      </c>
      <c r="B16" s="36" t="inlineStr">
        <is>
          <t>Applicability</t>
        </is>
      </c>
      <c r="C16" s="41" t="n">
        <v>3</v>
      </c>
      <c r="D16" s="41" t="n">
        <v>4</v>
      </c>
      <c r="E16" s="42" t="inlineStr">
        <is>
          <t>QoIs directly address the osseointegration safety and design screening decision; measurable both computationally and experimentally</t>
        </is>
      </c>
      <c r="F16" s="41" t="inlineStr">
        <is>
          <t>Interface micromotion directly maps to osseointegration threshold (50 µm literature limit); rim contact conditions inform fixation stability — both are the stated decision drivers for design freeze. QoIs are measurable via LVDT/DIC experimentally and directly extracted from FE output. Peak stress reported as secondary QoI for screening with explicitly relaxed accuracy requirement (±20%). QoI hierarchy clearly defined and tied to clinical relevance.</t>
        </is>
      </c>
      <c r="G16" s="41" t="inlineStr">
        <is>
          <t>assessed</t>
        </is>
      </c>
    </row>
    <row r="17" ht="15" customHeight="1" s="18">
      <c r="A17" s="36" t="inlineStr">
        <is>
          <t>Relevance of the validation activities to the COU</t>
        </is>
      </c>
      <c r="B17" s="36" t="inlineStr">
        <is>
          <t>Applicability</t>
        </is>
      </c>
      <c r="C17" s="41" t="n">
        <v>3</v>
      </c>
      <c r="D17" s="41" t="n">
        <v>3</v>
      </c>
      <c r="E17" s="42" t="inlineStr">
        <is>
          <t>Validation conditions cover the intended operating envelope; gaps documented and bounded</t>
        </is>
      </c>
      <c r="F17" s="41" t="inlineStr">
        <is>
          <t>Validation covers 52 mm shell, T-score −1 to −2 bone quality, 1.5 kN/30 N·m loading — matching the primary COU envelope. Foam and cadaveric specimens bracket surrogate and biological response. Gaps explicitly documented: severe osteoporosis (T &lt; −2.5), revision cases, cemented shells, extreme torque &gt;40 N·m, long-term remodeling not covered. Add-on task proposed (one osteoporotic cadaver) to probe low-E tail. Validation scope is adequate for the stated applicability limits but does not fully cover the broader clinical population.</t>
        </is>
      </c>
      <c r="G17" s="41" t="inlineStr">
        <is>
          <t>assessed</t>
        </is>
      </c>
    </row>
  </sheetData>
  <mergeCells count="2">
    <mergeCell ref="A2:F2"/>
    <mergeCell ref="A1:F1"/>
  </mergeCells>
  <dataValidations count="2">
    <dataValidation sqref="C5:D17" showDropDown="0" showInputMessage="0" showErrorMessage="0" allowBlank="1" type="list" errorStyle="stop" operator="between">
      <formula1>list_factor_level</formula1>
      <formula2>0</formula2>
    </dataValidation>
    <dataValidation sqref="F5:F17" showDropDown="0" showInputMessage="0" showErrorMessage="0" allowBlank="1" type="list" errorStyle="stop" operator="between">
      <formula1>list_assessed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1"/>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60" customWidth="1" style="17" min="2" max="2"/>
    <col width="22" customWidth="1" style="17" min="3" max="3"/>
    <col width="25" customWidth="1" style="17" min="4" max="4"/>
    <col width="16" customWidth="1" style="17" min="5" max="5"/>
  </cols>
  <sheetData>
    <row r="1" ht="30" customHeight="1" s="18">
      <c r="A1" s="19" t="inlineStr">
        <is>
          <t>Decision — The credibility judgment</t>
        </is>
      </c>
    </row>
    <row r="2" ht="15" customHeight="1" s="18">
      <c r="A2" s="20" t="inlineStr">
        <is>
          <t>Decision Outcome</t>
        </is>
      </c>
      <c r="B2" s="20" t="inlineStr">
        <is>
          <t>Decision Rationale</t>
        </is>
      </c>
      <c r="C2" s="20" t="inlineStr">
        <is>
          <t>Criteria Set</t>
        </is>
      </c>
      <c r="D2" s="20" t="inlineStr">
        <is>
          <t>Decided By</t>
        </is>
      </c>
      <c r="E2" s="20" t="inlineStr">
        <is>
          <t>Decision Date</t>
        </is>
      </c>
    </row>
    <row r="3" ht="22.35" customHeight="1" s="18">
      <c r="A3" s="39" t="inlineStr">
        <is>
          <t>Accepted</t>
        </is>
      </c>
      <c r="B3" s="39" t="inlineStr">
        <is>
          <t>The Alpha-52 structural FE model meets all stated credibility targets for the design-freeze decision. Primary QoI (interface micromotion) is validated to MAPE ~8–9% against cadaveric specimens; numerical uncertainty (GCI ~2%) is small relative to physical uncertainty; 95th-percentile micromotion (42 µm) remains below the 50 µm osseointegration threshold under full UQ propagation. Code verification, mesh convergence, and solver convergence are well-documented. Independent SME review completed with all actions closed. Model applicability limits are explicitly documented (no severe osteoporosis, no revision cases, no extreme torque). Accepted for use in design-freeze decision and proceeding to cadaveric testing series, subject to stated applicability restrictions: (1) friction data for alternative coating lot to be obtained (ETA 2 weeks); (2) orthotropic bone sensitivity spot-check planned; (3) one osteoporotic cadaver study proposed to bound the low-E tail.</t>
        </is>
      </c>
      <c r="C3" s="22" t="inlineStr">
        <is>
          <t>Auto-filled from Assessment Summary</t>
        </is>
      </c>
      <c r="D3" s="39" t="inlineStr">
        <is>
          <t>R. Patel, Simulation Group</t>
        </is>
      </c>
      <c r="E3" s="22" t="n"/>
    </row>
    <row r="4" ht="15" customHeight="1" s="18">
      <c r="A4" s="24" t="n"/>
      <c r="B4" s="24" t="n"/>
      <c r="C4" s="25">
        <f>'Assessment Summary'!H4</f>
        <v/>
      </c>
      <c r="D4" s="25" t="n"/>
      <c r="E4" s="33" t="n"/>
    </row>
  </sheetData>
  <mergeCells count="1">
    <mergeCell ref="A1:E1"/>
  </mergeCells>
  <dataValidations count="1">
    <dataValidation sqref="A4" showDropDown="0" showInputMessage="0" showErrorMessage="0" allowBlank="0" error="Select Accepted, Not accepted, or Conditional" type="list" errorStyle="stop" operator="between">
      <formula1>list_decision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2026-03-31T17:48:36Z</dcterms:created>
  <dcterms:modified xmlns:dcterms="http://purl.org/dc/terms/" xmlns:xsi="http://www.w3.org/2001/XMLSchema-instance" xsi:type="dcterms:W3CDTF">2026-08-06T06:21:39Z</dcterms:modified>
  <cp:revision>0</cp:revision>
</cp:coreProperties>
</file>